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ersonal\Portfolio\AI ML\Maze Solver using MDP\"/>
    </mc:Choice>
  </mc:AlternateContent>
  <xr:revisionPtr revIDLastSave="0" documentId="13_ncr:1_{6D8E51BB-9AFB-4E01-A38D-185E8A71F1B3}" xr6:coauthVersionLast="45" xr6:coauthVersionMax="45" xr10:uidLastSave="{00000000-0000-0000-0000-000000000000}"/>
  <bookViews>
    <workbookView xWindow="-120" yWindow="-120" windowWidth="29040" windowHeight="15840" xr2:uid="{FA2C7A20-3932-4BD0-B772-71F37D08CAB8}"/>
  </bookViews>
  <sheets>
    <sheet name="M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2" i="5" l="1"/>
  <c r="P12" i="5" s="1"/>
  <c r="W12" i="5" s="1"/>
  <c r="AD12" i="5" s="1"/>
  <c r="AK12" i="5" s="1"/>
  <c r="AR12" i="5" s="1"/>
  <c r="AY12" i="5" s="1"/>
  <c r="BF12" i="5" s="1"/>
  <c r="BM12" i="5" s="1"/>
  <c r="BT12" i="5" s="1"/>
  <c r="CA12" i="5" s="1"/>
  <c r="CH12" i="5" s="1"/>
  <c r="CO12" i="5" s="1"/>
  <c r="CV12" i="5" s="1"/>
  <c r="DC12" i="5" s="1"/>
  <c r="K18" i="5"/>
  <c r="Q39" i="5" s="1"/>
  <c r="J18" i="5"/>
  <c r="J16" i="5"/>
  <c r="Q16" i="5" s="1"/>
  <c r="X31" i="5" s="1"/>
  <c r="I18" i="5"/>
  <c r="I8" i="5" s="1"/>
  <c r="I46" i="5"/>
  <c r="I45" i="5"/>
  <c r="I44" i="5"/>
  <c r="I43" i="5"/>
  <c r="I42" i="5"/>
  <c r="I41" i="5"/>
  <c r="I35" i="5"/>
  <c r="L46" i="5"/>
  <c r="L45" i="5"/>
  <c r="L44" i="5"/>
  <c r="L43" i="5"/>
  <c r="L42" i="5"/>
  <c r="L41" i="5"/>
  <c r="L35" i="5"/>
  <c r="L40" i="5"/>
  <c r="L39" i="5"/>
  <c r="L38" i="5"/>
  <c r="L37" i="5"/>
  <c r="L36" i="5"/>
  <c r="L29" i="5"/>
  <c r="L34" i="5"/>
  <c r="L33" i="5"/>
  <c r="L32" i="5"/>
  <c r="L31" i="5"/>
  <c r="L30" i="5"/>
  <c r="K46" i="5"/>
  <c r="K45" i="5"/>
  <c r="K44" i="5"/>
  <c r="K43" i="5"/>
  <c r="K42" i="5"/>
  <c r="K41" i="5"/>
  <c r="K35" i="5"/>
  <c r="K40" i="5"/>
  <c r="K39" i="5"/>
  <c r="K38" i="5"/>
  <c r="K37" i="5"/>
  <c r="K36" i="5"/>
  <c r="K29" i="5"/>
  <c r="K34" i="5"/>
  <c r="K33" i="5"/>
  <c r="K32" i="5"/>
  <c r="K31" i="5"/>
  <c r="K30" i="5"/>
  <c r="K23" i="5"/>
  <c r="J46" i="5"/>
  <c r="J45" i="5"/>
  <c r="J44" i="5"/>
  <c r="J43" i="5"/>
  <c r="J42" i="5"/>
  <c r="J41" i="5"/>
  <c r="J35" i="5"/>
  <c r="J40" i="5"/>
  <c r="J39" i="5"/>
  <c r="J38" i="5"/>
  <c r="J37" i="5"/>
  <c r="J36" i="5"/>
  <c r="J29" i="5"/>
  <c r="J34" i="5"/>
  <c r="J33" i="5"/>
  <c r="J32" i="5"/>
  <c r="J31" i="5"/>
  <c r="J30" i="5"/>
  <c r="J23" i="5"/>
  <c r="L28" i="5"/>
  <c r="L27" i="5"/>
  <c r="L26" i="5"/>
  <c r="L25" i="5"/>
  <c r="L24" i="5"/>
  <c r="K28" i="5"/>
  <c r="K27" i="5"/>
  <c r="K26" i="5"/>
  <c r="K25" i="5"/>
  <c r="K24" i="5"/>
  <c r="J28" i="5"/>
  <c r="J27" i="5"/>
  <c r="J26" i="5"/>
  <c r="J25" i="5"/>
  <c r="J24" i="5"/>
  <c r="L23" i="5"/>
  <c r="I23" i="5"/>
  <c r="I14" i="5" s="1"/>
  <c r="I4" i="5" s="1"/>
  <c r="I40" i="5"/>
  <c r="I39" i="5"/>
  <c r="I38" i="5"/>
  <c r="I37" i="5"/>
  <c r="I36" i="5"/>
  <c r="I29" i="5"/>
  <c r="I34" i="5"/>
  <c r="I33" i="5"/>
  <c r="I32" i="5"/>
  <c r="I31" i="5"/>
  <c r="I30" i="5"/>
  <c r="I28" i="5"/>
  <c r="I27" i="5"/>
  <c r="I26" i="5"/>
  <c r="I25" i="5"/>
  <c r="I24" i="5"/>
  <c r="K17" i="5" l="1"/>
  <c r="K7" i="5" s="1"/>
  <c r="L19" i="5"/>
  <c r="L9" i="5" s="1"/>
  <c r="J19" i="5"/>
  <c r="L16" i="5"/>
  <c r="L6" i="5" s="1"/>
  <c r="L15" i="5"/>
  <c r="L5" i="5" s="1"/>
  <c r="L18" i="5"/>
  <c r="L8" i="5" s="1"/>
  <c r="W31" i="5"/>
  <c r="X16" i="5"/>
  <c r="Z31" i="5"/>
  <c r="Y31" i="5"/>
  <c r="Q18" i="5"/>
  <c r="S33" i="5"/>
  <c r="P33" i="5"/>
  <c r="K19" i="5"/>
  <c r="Q34" i="5" s="1"/>
  <c r="I16" i="5"/>
  <c r="J8" i="5"/>
  <c r="L17" i="5"/>
  <c r="J9" i="5"/>
  <c r="I19" i="5"/>
  <c r="I9" i="5" s="1"/>
  <c r="I15" i="5"/>
  <c r="I5" i="5" s="1"/>
  <c r="P18" i="5"/>
  <c r="P14" i="5"/>
  <c r="R18" i="5"/>
  <c r="J14" i="5"/>
  <c r="K15" i="5"/>
  <c r="J15" i="5"/>
  <c r="K14" i="5"/>
  <c r="R14" i="5" s="1"/>
  <c r="S31" i="5"/>
  <c r="P31" i="5"/>
  <c r="J6" i="5"/>
  <c r="Q31" i="5"/>
  <c r="R31" i="5"/>
  <c r="Q6" i="5"/>
  <c r="I17" i="5"/>
  <c r="R33" i="5"/>
  <c r="Q33" i="5"/>
  <c r="P39" i="5"/>
  <c r="R39" i="5"/>
  <c r="S39" i="5"/>
  <c r="K8" i="5"/>
  <c r="K16" i="5"/>
  <c r="R16" i="5" s="1"/>
  <c r="J17" i="5"/>
  <c r="S23" i="5"/>
  <c r="R23" i="5"/>
  <c r="S40" i="5" l="1"/>
  <c r="R40" i="5"/>
  <c r="Q40" i="5"/>
  <c r="S24" i="5"/>
  <c r="R35" i="5"/>
  <c r="P41" i="5"/>
  <c r="P35" i="5"/>
  <c r="S35" i="5"/>
  <c r="K4" i="5"/>
  <c r="R41" i="5"/>
  <c r="R42" i="5"/>
  <c r="S42" i="5"/>
  <c r="Q42" i="5"/>
  <c r="Q41" i="5"/>
  <c r="S41" i="5"/>
  <c r="Q43" i="5"/>
  <c r="S25" i="5"/>
  <c r="R24" i="5"/>
  <c r="K5" i="5"/>
  <c r="I6" i="5"/>
  <c r="K9" i="5"/>
  <c r="AF31" i="5"/>
  <c r="AE31" i="5"/>
  <c r="AD31" i="5"/>
  <c r="AE16" i="5"/>
  <c r="X6" i="5"/>
  <c r="AG31" i="5"/>
  <c r="W41" i="5"/>
  <c r="W35" i="5"/>
  <c r="Z35" i="5"/>
  <c r="Y35" i="5"/>
  <c r="X35" i="5"/>
  <c r="Y14" i="5"/>
  <c r="P42" i="5"/>
  <c r="L7" i="5"/>
  <c r="W39" i="5"/>
  <c r="Y39" i="5"/>
  <c r="Y18" i="5"/>
  <c r="Z39" i="5"/>
  <c r="X39" i="5"/>
  <c r="R8" i="5"/>
  <c r="J4" i="5"/>
  <c r="Q14" i="5"/>
  <c r="W23" i="5"/>
  <c r="W14" i="5"/>
  <c r="Z23" i="5"/>
  <c r="Y23" i="5"/>
  <c r="X23" i="5"/>
  <c r="W33" i="5"/>
  <c r="Z33" i="5"/>
  <c r="X18" i="5"/>
  <c r="Y33" i="5"/>
  <c r="X33" i="5"/>
  <c r="P8" i="5"/>
  <c r="W27" i="5"/>
  <c r="Z27" i="5"/>
  <c r="Y27" i="5"/>
  <c r="X27" i="5"/>
  <c r="W18" i="5"/>
  <c r="W37" i="5"/>
  <c r="Y16" i="5"/>
  <c r="Z37" i="5"/>
  <c r="X37" i="5"/>
  <c r="Y37" i="5"/>
  <c r="Q29" i="5"/>
  <c r="Q30" i="5"/>
  <c r="S36" i="5"/>
  <c r="R36" i="5"/>
  <c r="S30" i="5"/>
  <c r="J5" i="5"/>
  <c r="Q36" i="5"/>
  <c r="P30" i="5"/>
  <c r="P36" i="5"/>
  <c r="R30" i="5"/>
  <c r="R6" i="5"/>
  <c r="R43" i="5"/>
  <c r="I7" i="5"/>
  <c r="Q8" i="5"/>
  <c r="K6" i="5"/>
  <c r="J7" i="5"/>
  <c r="Q37" i="5"/>
  <c r="P43" i="5"/>
  <c r="P38" i="5"/>
  <c r="S38" i="5"/>
  <c r="R38" i="5"/>
  <c r="P44" i="5"/>
  <c r="R37" i="5"/>
  <c r="Q32" i="5"/>
  <c r="P37" i="5"/>
  <c r="Q38" i="5"/>
  <c r="S43" i="5"/>
  <c r="S37" i="5"/>
  <c r="S28" i="5"/>
  <c r="R28" i="5"/>
  <c r="P28" i="5"/>
  <c r="P34" i="5"/>
  <c r="R27" i="5"/>
  <c r="R34" i="5"/>
  <c r="P27" i="5"/>
  <c r="S34" i="5"/>
  <c r="Q28" i="5"/>
  <c r="P40" i="5"/>
  <c r="P32" i="5"/>
  <c r="S32" i="5"/>
  <c r="R26" i="5"/>
  <c r="R29" i="5"/>
  <c r="P29" i="5"/>
  <c r="P26" i="5"/>
  <c r="S26" i="5"/>
  <c r="Q27" i="5"/>
  <c r="R32" i="5"/>
  <c r="P23" i="5"/>
  <c r="P24" i="5"/>
  <c r="S27" i="5"/>
  <c r="R46" i="5"/>
  <c r="Q26" i="5"/>
  <c r="Q24" i="5"/>
  <c r="Q23" i="5"/>
  <c r="S29" i="5"/>
  <c r="Q35" i="5"/>
  <c r="S44" i="5"/>
  <c r="Q44" i="5"/>
  <c r="R45" i="5"/>
  <c r="S46" i="5"/>
  <c r="S45" i="5"/>
  <c r="P25" i="5"/>
  <c r="R25" i="5"/>
  <c r="Q25" i="5"/>
  <c r="Q45" i="5"/>
  <c r="P45" i="5"/>
  <c r="R44" i="5"/>
  <c r="Q46" i="5"/>
  <c r="P46" i="5"/>
  <c r="R19" i="5" l="1"/>
  <c r="R9" i="5" s="1"/>
  <c r="Q17" i="5"/>
  <c r="P19" i="5"/>
  <c r="Z28" i="5" s="1"/>
  <c r="S19" i="5"/>
  <c r="S15" i="5"/>
  <c r="Z41" i="5" s="1"/>
  <c r="S16" i="5"/>
  <c r="P15" i="5"/>
  <c r="R15" i="5"/>
  <c r="Q19" i="5"/>
  <c r="Q15" i="5"/>
  <c r="P16" i="5"/>
  <c r="S17" i="5"/>
  <c r="P17" i="5"/>
  <c r="W8" i="5"/>
  <c r="AG27" i="5"/>
  <c r="AD18" i="5"/>
  <c r="AF27" i="5"/>
  <c r="AE27" i="5"/>
  <c r="AD27" i="5"/>
  <c r="AG23" i="5"/>
  <c r="AF23" i="5"/>
  <c r="AD14" i="5"/>
  <c r="W4" i="5"/>
  <c r="AE23" i="5"/>
  <c r="AD23" i="5"/>
  <c r="AG33" i="5"/>
  <c r="AF33" i="5"/>
  <c r="AE33" i="5"/>
  <c r="AD33" i="5"/>
  <c r="X8" i="5"/>
  <c r="AE18" i="5"/>
  <c r="W29" i="5"/>
  <c r="X14" i="5"/>
  <c r="Z29" i="5"/>
  <c r="X29" i="5"/>
  <c r="Y29" i="5"/>
  <c r="AG39" i="5"/>
  <c r="AF18" i="5"/>
  <c r="AF39" i="5"/>
  <c r="AE39" i="5"/>
  <c r="AD39" i="5"/>
  <c r="Y8" i="5"/>
  <c r="AF14" i="5"/>
  <c r="Y4" i="5"/>
  <c r="AD41" i="5"/>
  <c r="AG35" i="5"/>
  <c r="AF35" i="5"/>
  <c r="AE35" i="5"/>
  <c r="AD35" i="5"/>
  <c r="R17" i="5"/>
  <c r="AN31" i="5"/>
  <c r="AE6" i="5"/>
  <c r="AK31" i="5"/>
  <c r="AL31" i="5"/>
  <c r="AL16" i="5"/>
  <c r="AM31" i="5"/>
  <c r="S18" i="5"/>
  <c r="Z46" i="5" s="1"/>
  <c r="AG37" i="5"/>
  <c r="AF37" i="5"/>
  <c r="AE37" i="5"/>
  <c r="AD37" i="5"/>
  <c r="AF16" i="5"/>
  <c r="Y6" i="5"/>
  <c r="P5" i="5"/>
  <c r="R4" i="5"/>
  <c r="Z26" i="5" l="1"/>
  <c r="P9" i="5"/>
  <c r="Y28" i="5"/>
  <c r="P7" i="5"/>
  <c r="Z32" i="5"/>
  <c r="X40" i="5"/>
  <c r="W34" i="5"/>
  <c r="W25" i="5"/>
  <c r="W46" i="5"/>
  <c r="X25" i="5"/>
  <c r="Z24" i="5"/>
  <c r="Z40" i="5"/>
  <c r="S9" i="5"/>
  <c r="Y25" i="5"/>
  <c r="Y46" i="5"/>
  <c r="Y24" i="5"/>
  <c r="Z30" i="5"/>
  <c r="Q5" i="5"/>
  <c r="W40" i="5"/>
  <c r="W24" i="5"/>
  <c r="X34" i="5"/>
  <c r="W28" i="5"/>
  <c r="Y26" i="5"/>
  <c r="Y34" i="5"/>
  <c r="Z25" i="5"/>
  <c r="X28" i="5"/>
  <c r="Y40" i="5"/>
  <c r="Z34" i="5"/>
  <c r="X24" i="5"/>
  <c r="Z36" i="5"/>
  <c r="Y30" i="5"/>
  <c r="X46" i="5"/>
  <c r="X44" i="5"/>
  <c r="W42" i="5"/>
  <c r="Y42" i="5"/>
  <c r="X30" i="5"/>
  <c r="W36" i="5"/>
  <c r="Y41" i="5"/>
  <c r="X36" i="5"/>
  <c r="S7" i="5"/>
  <c r="Y36" i="5"/>
  <c r="X41" i="5"/>
  <c r="X43" i="5"/>
  <c r="Y43" i="5"/>
  <c r="Z43" i="5"/>
  <c r="W43" i="5"/>
  <c r="Z16" i="5" s="1"/>
  <c r="Z44" i="5"/>
  <c r="X42" i="5"/>
  <c r="Z42" i="5"/>
  <c r="S6" i="5"/>
  <c r="W32" i="5"/>
  <c r="W30" i="5"/>
  <c r="W26" i="5"/>
  <c r="X32" i="5"/>
  <c r="X26" i="5"/>
  <c r="W44" i="5"/>
  <c r="W45" i="5"/>
  <c r="Y45" i="5"/>
  <c r="Z45" i="5"/>
  <c r="X45" i="5"/>
  <c r="AL6" i="5"/>
  <c r="AU31" i="5"/>
  <c r="AS31" i="5"/>
  <c r="AR31" i="5"/>
  <c r="AS16" i="5"/>
  <c r="AT31" i="5"/>
  <c r="AN33" i="5"/>
  <c r="AE8" i="5"/>
  <c r="AM33" i="5"/>
  <c r="AK33" i="5"/>
  <c r="AL33" i="5"/>
  <c r="AL18" i="5"/>
  <c r="Y44" i="5"/>
  <c r="Y32" i="5"/>
  <c r="AM23" i="5"/>
  <c r="AN23" i="5"/>
  <c r="AD4" i="5"/>
  <c r="AK14" i="5"/>
  <c r="AK23" i="5"/>
  <c r="AL23" i="5"/>
  <c r="AM27" i="5"/>
  <c r="AD8" i="5"/>
  <c r="AN27" i="5"/>
  <c r="AK18" i="5"/>
  <c r="AK27" i="5"/>
  <c r="AL27" i="5"/>
  <c r="AN37" i="5"/>
  <c r="AF6" i="5"/>
  <c r="AM37" i="5"/>
  <c r="AM16" i="5"/>
  <c r="AK37" i="5"/>
  <c r="AL37" i="5"/>
  <c r="AF29" i="5"/>
  <c r="AE29" i="5"/>
  <c r="AE14" i="5"/>
  <c r="X4" i="5"/>
  <c r="AD29" i="5"/>
  <c r="AG29" i="5"/>
  <c r="AN39" i="5"/>
  <c r="AF8" i="5"/>
  <c r="AM39" i="5"/>
  <c r="AM18" i="5"/>
  <c r="AK39" i="5"/>
  <c r="AL39" i="5"/>
  <c r="Z38" i="5"/>
  <c r="Y38" i="5"/>
  <c r="X38" i="5"/>
  <c r="W38" i="5"/>
  <c r="AM35" i="5"/>
  <c r="AN35" i="5"/>
  <c r="AF4" i="5"/>
  <c r="AM14" i="5"/>
  <c r="AK41" i="5"/>
  <c r="AK35" i="5"/>
  <c r="AL35" i="5"/>
  <c r="S5" i="5"/>
  <c r="S8" i="5"/>
  <c r="R5" i="5"/>
  <c r="Q4" i="5"/>
  <c r="P4" i="5"/>
  <c r="R7" i="5"/>
  <c r="Q7" i="5"/>
  <c r="Q9" i="5"/>
  <c r="P6" i="5"/>
  <c r="W17" i="5" l="1"/>
  <c r="Z19" i="5"/>
  <c r="Z9" i="5" s="1"/>
  <c r="W19" i="5"/>
  <c r="W9" i="5" s="1"/>
  <c r="Y19" i="5"/>
  <c r="Y9" i="5" s="1"/>
  <c r="W16" i="5"/>
  <c r="W6" i="5" s="1"/>
  <c r="X19" i="5"/>
  <c r="X9" i="5" s="1"/>
  <c r="W15" i="5"/>
  <c r="AF46" i="5"/>
  <c r="X15" i="5"/>
  <c r="Z17" i="5"/>
  <c r="Z7" i="5" s="1"/>
  <c r="Y15" i="5"/>
  <c r="Z15" i="5"/>
  <c r="AE41" i="5" s="1"/>
  <c r="Y17" i="5"/>
  <c r="Y7" i="5" s="1"/>
  <c r="Z6" i="5"/>
  <c r="AE43" i="5"/>
  <c r="AG43" i="5"/>
  <c r="AF43" i="5"/>
  <c r="AD43" i="5"/>
  <c r="X17" i="5"/>
  <c r="AU35" i="5"/>
  <c r="AR41" i="5"/>
  <c r="AT35" i="5"/>
  <c r="AS35" i="5"/>
  <c r="AR35" i="5"/>
  <c r="AT14" i="5"/>
  <c r="AM4" i="5"/>
  <c r="AL8" i="5"/>
  <c r="AU33" i="5"/>
  <c r="AT33" i="5"/>
  <c r="AS33" i="5"/>
  <c r="AR33" i="5"/>
  <c r="AS18" i="5"/>
  <c r="AK4" i="5"/>
  <c r="AU23" i="5"/>
  <c r="AR14" i="5"/>
  <c r="AT23" i="5"/>
  <c r="AS23" i="5"/>
  <c r="AR23" i="5"/>
  <c r="AM8" i="5"/>
  <c r="AU39" i="5"/>
  <c r="AS39" i="5"/>
  <c r="AR39" i="5"/>
  <c r="AT18" i="5"/>
  <c r="AT39" i="5"/>
  <c r="AK8" i="5"/>
  <c r="AU27" i="5"/>
  <c r="AT27" i="5"/>
  <c r="AS27" i="5"/>
  <c r="AR27" i="5"/>
  <c r="AR18" i="5"/>
  <c r="AM6" i="5"/>
  <c r="AU37" i="5"/>
  <c r="AT16" i="5"/>
  <c r="AS37" i="5"/>
  <c r="AT37" i="5"/>
  <c r="AR37" i="5"/>
  <c r="AM29" i="5"/>
  <c r="AN29" i="5"/>
  <c r="AE4" i="5"/>
  <c r="AL14" i="5"/>
  <c r="AK29" i="5"/>
  <c r="AL29" i="5"/>
  <c r="AG28" i="5"/>
  <c r="BB31" i="5"/>
  <c r="AS6" i="5"/>
  <c r="AY31" i="5"/>
  <c r="AZ16" i="5"/>
  <c r="AZ31" i="5"/>
  <c r="BA31" i="5"/>
  <c r="Z18" i="5"/>
  <c r="AE28" i="5" l="1"/>
  <c r="AD25" i="5"/>
  <c r="AF25" i="5"/>
  <c r="AE34" i="5"/>
  <c r="AG25" i="5"/>
  <c r="AG32" i="5"/>
  <c r="AF40" i="5"/>
  <c r="AE40" i="5"/>
  <c r="AG26" i="5"/>
  <c r="AD40" i="5"/>
  <c r="AE25" i="5"/>
  <c r="AD34" i="5"/>
  <c r="W7" i="5"/>
  <c r="AG24" i="5"/>
  <c r="W5" i="5"/>
  <c r="AG34" i="5"/>
  <c r="AF28" i="5"/>
  <c r="AD28" i="5"/>
  <c r="AF34" i="5"/>
  <c r="AG40" i="5"/>
  <c r="AF24" i="5"/>
  <c r="AD36" i="5"/>
  <c r="AF30" i="5"/>
  <c r="AG30" i="5"/>
  <c r="AE24" i="5"/>
  <c r="AE30" i="5"/>
  <c r="X5" i="5"/>
  <c r="AE38" i="5"/>
  <c r="AG36" i="5"/>
  <c r="AD24" i="5"/>
  <c r="AD30" i="5"/>
  <c r="AF41" i="5"/>
  <c r="AE36" i="5"/>
  <c r="Y5" i="5"/>
  <c r="AG42" i="5"/>
  <c r="AG41" i="5"/>
  <c r="Z5" i="5"/>
  <c r="AF42" i="5"/>
  <c r="AD42" i="5"/>
  <c r="AG38" i="5"/>
  <c r="AF36" i="5"/>
  <c r="AD38" i="5"/>
  <c r="AD44" i="5"/>
  <c r="AG16" i="5"/>
  <c r="AG6" i="5" s="1"/>
  <c r="AE42" i="5"/>
  <c r="AG44" i="5"/>
  <c r="AF26" i="5"/>
  <c r="AD32" i="5"/>
  <c r="AF32" i="5"/>
  <c r="X7" i="5"/>
  <c r="AF38" i="5"/>
  <c r="AE26" i="5"/>
  <c r="AE32" i="5"/>
  <c r="AD26" i="5"/>
  <c r="AE44" i="5"/>
  <c r="AT4" i="5"/>
  <c r="AZ35" i="5"/>
  <c r="BA35" i="5"/>
  <c r="AY41" i="5"/>
  <c r="BA14" i="5"/>
  <c r="AY35" i="5"/>
  <c r="BB35" i="5"/>
  <c r="AF44" i="5"/>
  <c r="AZ6" i="5"/>
  <c r="BF31" i="5"/>
  <c r="BG16" i="5"/>
  <c r="BI31" i="5"/>
  <c r="BH31" i="5"/>
  <c r="BG31" i="5"/>
  <c r="BB33" i="5"/>
  <c r="AS8" i="5"/>
  <c r="AY33" i="5"/>
  <c r="AZ18" i="5"/>
  <c r="AZ33" i="5"/>
  <c r="BA33" i="5"/>
  <c r="AL4" i="5"/>
  <c r="AU29" i="5"/>
  <c r="AS29" i="5"/>
  <c r="AS14" i="5"/>
  <c r="AT29" i="5"/>
  <c r="AR29" i="5"/>
  <c r="BB27" i="5"/>
  <c r="AR8" i="5"/>
  <c r="AY27" i="5"/>
  <c r="AZ27" i="5"/>
  <c r="BA27" i="5"/>
  <c r="AY18" i="5"/>
  <c r="Z8" i="5"/>
  <c r="AG45" i="5"/>
  <c r="AE45" i="5"/>
  <c r="AF45" i="5"/>
  <c r="AD45" i="5"/>
  <c r="AG46" i="5"/>
  <c r="AD46" i="5"/>
  <c r="AE46" i="5"/>
  <c r="BB23" i="5"/>
  <c r="AR4" i="5"/>
  <c r="AY14" i="5"/>
  <c r="AY23" i="5"/>
  <c r="AZ23" i="5"/>
  <c r="BA23" i="5"/>
  <c r="BB39" i="5"/>
  <c r="AT8" i="5"/>
  <c r="AY39" i="5"/>
  <c r="AZ39" i="5"/>
  <c r="BA39" i="5"/>
  <c r="BA18" i="5"/>
  <c r="BB37" i="5"/>
  <c r="AT6" i="5"/>
  <c r="AZ37" i="5"/>
  <c r="BA37" i="5"/>
  <c r="BA16" i="5"/>
  <c r="AY37" i="5"/>
  <c r="AD19" i="5" l="1"/>
  <c r="AE19" i="5"/>
  <c r="AE9" i="5" s="1"/>
  <c r="AD16" i="5"/>
  <c r="AD6" i="5" s="1"/>
  <c r="AF19" i="5"/>
  <c r="AD15" i="5"/>
  <c r="AK25" i="5" s="1"/>
  <c r="AF15" i="5"/>
  <c r="AF5" i="5" s="1"/>
  <c r="AE15" i="5"/>
  <c r="AG15" i="5"/>
  <c r="AL42" i="5" s="1"/>
  <c r="AK43" i="5"/>
  <c r="AF17" i="5"/>
  <c r="AF7" i="5" s="1"/>
  <c r="AD17" i="5"/>
  <c r="AE17" i="5"/>
  <c r="AE7" i="5" s="1"/>
  <c r="BA8" i="5"/>
  <c r="BF39" i="5"/>
  <c r="BH39" i="5"/>
  <c r="BG39" i="5"/>
  <c r="BH18" i="5"/>
  <c r="BI39" i="5"/>
  <c r="AG18" i="5"/>
  <c r="AY8" i="5"/>
  <c r="BF27" i="5"/>
  <c r="BG27" i="5"/>
  <c r="BI27" i="5"/>
  <c r="BH27" i="5"/>
  <c r="BF18" i="5"/>
  <c r="BA4" i="5"/>
  <c r="BF41" i="5"/>
  <c r="BF35" i="5"/>
  <c r="BI35" i="5"/>
  <c r="BH35" i="5"/>
  <c r="BH14" i="5"/>
  <c r="BG35" i="5"/>
  <c r="AZ8" i="5"/>
  <c r="BF33" i="5"/>
  <c r="BH33" i="5"/>
  <c r="BG18" i="5"/>
  <c r="BI33" i="5"/>
  <c r="BG33" i="5"/>
  <c r="BB29" i="5"/>
  <c r="AS4" i="5"/>
  <c r="AY29" i="5"/>
  <c r="AZ14" i="5"/>
  <c r="AZ29" i="5"/>
  <c r="BA29" i="5"/>
  <c r="BP31" i="5"/>
  <c r="BG6" i="5"/>
  <c r="BM31" i="5"/>
  <c r="BO31" i="5"/>
  <c r="BN16" i="5"/>
  <c r="BN31" i="5"/>
  <c r="AY4" i="5"/>
  <c r="BF23" i="5"/>
  <c r="BI23" i="5"/>
  <c r="BH23" i="5"/>
  <c r="BG23" i="5"/>
  <c r="BF14" i="5"/>
  <c r="AG19" i="5"/>
  <c r="BA6" i="5"/>
  <c r="BF37" i="5"/>
  <c r="BH16" i="5"/>
  <c r="BI37" i="5"/>
  <c r="BH37" i="5"/>
  <c r="BG37" i="5"/>
  <c r="AG17" i="5"/>
  <c r="AM28" i="5" l="1"/>
  <c r="AN24" i="5"/>
  <c r="AN28" i="5"/>
  <c r="AL28" i="5"/>
  <c r="AD9" i="5"/>
  <c r="AK28" i="5"/>
  <c r="AM25" i="5"/>
  <c r="AN34" i="5"/>
  <c r="AN40" i="5"/>
  <c r="AK34" i="5"/>
  <c r="AL34" i="5"/>
  <c r="AF9" i="5"/>
  <c r="AM34" i="5"/>
  <c r="AD5" i="5"/>
  <c r="AN25" i="5"/>
  <c r="AL25" i="5"/>
  <c r="AN26" i="5"/>
  <c r="AD7" i="5"/>
  <c r="AL26" i="5"/>
  <c r="AM26" i="5"/>
  <c r="AL24" i="5"/>
  <c r="AK24" i="5"/>
  <c r="AM30" i="5"/>
  <c r="AN36" i="5"/>
  <c r="AL30" i="5"/>
  <c r="AN30" i="5"/>
  <c r="AK30" i="5"/>
  <c r="AM24" i="5"/>
  <c r="AE5" i="5"/>
  <c r="AM36" i="5"/>
  <c r="AL41" i="5"/>
  <c r="AK42" i="5"/>
  <c r="AN42" i="5"/>
  <c r="AL36" i="5"/>
  <c r="AN41" i="5"/>
  <c r="AG5" i="5"/>
  <c r="AK36" i="5"/>
  <c r="AM42" i="5"/>
  <c r="AM41" i="5"/>
  <c r="AK26" i="5"/>
  <c r="AN38" i="5"/>
  <c r="AM32" i="5"/>
  <c r="AL32" i="5"/>
  <c r="AN32" i="5"/>
  <c r="AK32" i="5"/>
  <c r="AM38" i="5"/>
  <c r="AL43" i="5"/>
  <c r="AN16" i="5" s="1"/>
  <c r="AM43" i="5"/>
  <c r="AN43" i="5"/>
  <c r="AL38" i="5"/>
  <c r="BP23" i="5"/>
  <c r="BF4" i="5"/>
  <c r="BM14" i="5"/>
  <c r="BM23" i="5"/>
  <c r="BO23" i="5"/>
  <c r="BN23" i="5"/>
  <c r="BH4" i="5"/>
  <c r="BM41" i="5"/>
  <c r="BO14" i="5"/>
  <c r="BP35" i="5"/>
  <c r="BM35" i="5"/>
  <c r="BO35" i="5"/>
  <c r="BN35" i="5"/>
  <c r="BP37" i="5"/>
  <c r="BH6" i="5"/>
  <c r="BO16" i="5"/>
  <c r="BM37" i="5"/>
  <c r="BO37" i="5"/>
  <c r="BN37" i="5"/>
  <c r="BP33" i="5"/>
  <c r="BG8" i="5"/>
  <c r="BM33" i="5"/>
  <c r="BO33" i="5"/>
  <c r="BN18" i="5"/>
  <c r="BN33" i="5"/>
  <c r="BP39" i="5"/>
  <c r="BN39" i="5"/>
  <c r="BH8" i="5"/>
  <c r="BO18" i="5"/>
  <c r="BM39" i="5"/>
  <c r="BO39" i="5"/>
  <c r="AK46" i="5"/>
  <c r="AG9" i="5"/>
  <c r="AN46" i="5"/>
  <c r="AM46" i="5"/>
  <c r="AL46" i="5"/>
  <c r="AL40" i="5"/>
  <c r="AK40" i="5"/>
  <c r="AM40" i="5"/>
  <c r="BN6" i="5"/>
  <c r="BW31" i="5"/>
  <c r="BU16" i="5"/>
  <c r="BV31" i="5"/>
  <c r="BU31" i="5"/>
  <c r="BT31" i="5"/>
  <c r="AZ4" i="5"/>
  <c r="BF29" i="5"/>
  <c r="BH29" i="5"/>
  <c r="BG29" i="5"/>
  <c r="BG14" i="5"/>
  <c r="BI29" i="5"/>
  <c r="AM45" i="5"/>
  <c r="AL45" i="5"/>
  <c r="AK45" i="5"/>
  <c r="AG8" i="5"/>
  <c r="AN45" i="5"/>
  <c r="AN44" i="5"/>
  <c r="AM44" i="5"/>
  <c r="AL44" i="5"/>
  <c r="AK44" i="5"/>
  <c r="AG7" i="5"/>
  <c r="BP27" i="5"/>
  <c r="BF8" i="5"/>
  <c r="BM27" i="5"/>
  <c r="BO27" i="5"/>
  <c r="BN27" i="5"/>
  <c r="BM18" i="5"/>
  <c r="AK38" i="5"/>
  <c r="AK19" i="5" l="1"/>
  <c r="AK9" i="5" s="1"/>
  <c r="AL19" i="5"/>
  <c r="AK16" i="5"/>
  <c r="AK6" i="5" s="1"/>
  <c r="AK15" i="5"/>
  <c r="AK17" i="5"/>
  <c r="AL15" i="5"/>
  <c r="AL5" i="5" s="1"/>
  <c r="AN15" i="5"/>
  <c r="AN5" i="5" s="1"/>
  <c r="AM15" i="5"/>
  <c r="AL17" i="5"/>
  <c r="AM17" i="5"/>
  <c r="AM7" i="5" s="1"/>
  <c r="AR43" i="5"/>
  <c r="AU43" i="5"/>
  <c r="AN6" i="5"/>
  <c r="AN18" i="5"/>
  <c r="AN8" i="5" s="1"/>
  <c r="AM19" i="5"/>
  <c r="AN17" i="5"/>
  <c r="AS43" i="5" s="1"/>
  <c r="BM4" i="5"/>
  <c r="BW23" i="5"/>
  <c r="BT14" i="5"/>
  <c r="BV23" i="5"/>
  <c r="BU23" i="5"/>
  <c r="BT23" i="5"/>
  <c r="BO4" i="5"/>
  <c r="BV14" i="5"/>
  <c r="BW35" i="5"/>
  <c r="BU35" i="5"/>
  <c r="BT41" i="5"/>
  <c r="BV35" i="5"/>
  <c r="BT35" i="5"/>
  <c r="BM8" i="5"/>
  <c r="BT18" i="5"/>
  <c r="BW27" i="5"/>
  <c r="BV27" i="5"/>
  <c r="BU27" i="5"/>
  <c r="BT27" i="5"/>
  <c r="BP29" i="5"/>
  <c r="BG4" i="5"/>
  <c r="BM29" i="5"/>
  <c r="BN14" i="5"/>
  <c r="BO29" i="5"/>
  <c r="BN29" i="5"/>
  <c r="CD31" i="5"/>
  <c r="BU6" i="5"/>
  <c r="CA31" i="5"/>
  <c r="CB16" i="5"/>
  <c r="CB31" i="5"/>
  <c r="CC31" i="5"/>
  <c r="BO6" i="5"/>
  <c r="BW37" i="5"/>
  <c r="BV37" i="5"/>
  <c r="BU37" i="5"/>
  <c r="BT37" i="5"/>
  <c r="BV16" i="5"/>
  <c r="AN19" i="5"/>
  <c r="BN8" i="5"/>
  <c r="BU18" i="5"/>
  <c r="BW33" i="5"/>
  <c r="BV33" i="5"/>
  <c r="BU33" i="5"/>
  <c r="BT33" i="5"/>
  <c r="BO8" i="5"/>
  <c r="BV18" i="5"/>
  <c r="BW39" i="5"/>
  <c r="BV39" i="5"/>
  <c r="BT39" i="5"/>
  <c r="BU39" i="5"/>
  <c r="AU28" i="5" l="1"/>
  <c r="AT28" i="5"/>
  <c r="AR25" i="5"/>
  <c r="AS40" i="5"/>
  <c r="AR28" i="5"/>
  <c r="AU34" i="5"/>
  <c r="AT34" i="5"/>
  <c r="AL9" i="5"/>
  <c r="AS28" i="5"/>
  <c r="AT25" i="5"/>
  <c r="AS25" i="5"/>
  <c r="AR26" i="5"/>
  <c r="AU26" i="5"/>
  <c r="AK7" i="5"/>
  <c r="AU25" i="5"/>
  <c r="AK5" i="5"/>
  <c r="AU24" i="5"/>
  <c r="AR24" i="5"/>
  <c r="AU30" i="5"/>
  <c r="AS24" i="5"/>
  <c r="AT41" i="5"/>
  <c r="AT24" i="5"/>
  <c r="AU36" i="5"/>
  <c r="AT36" i="5"/>
  <c r="AS30" i="5"/>
  <c r="AU42" i="5"/>
  <c r="AS41" i="5"/>
  <c r="AT30" i="5"/>
  <c r="AT42" i="5"/>
  <c r="AS36" i="5"/>
  <c r="AS42" i="5"/>
  <c r="AR42" i="5"/>
  <c r="AR36" i="5"/>
  <c r="AM5" i="5"/>
  <c r="AU41" i="5"/>
  <c r="AR30" i="5"/>
  <c r="AT38" i="5"/>
  <c r="AU38" i="5"/>
  <c r="AS26" i="5"/>
  <c r="AR38" i="5"/>
  <c r="AT26" i="5"/>
  <c r="AR32" i="5"/>
  <c r="AU32" i="5"/>
  <c r="AL7" i="5"/>
  <c r="AT32" i="5"/>
  <c r="AS32" i="5"/>
  <c r="AS34" i="5"/>
  <c r="AS38" i="5"/>
  <c r="AR45" i="5"/>
  <c r="AU16" i="5"/>
  <c r="AR34" i="5"/>
  <c r="AU40" i="5"/>
  <c r="AU45" i="5"/>
  <c r="AT43" i="5"/>
  <c r="AM9" i="5"/>
  <c r="AT40" i="5"/>
  <c r="CD33" i="5"/>
  <c r="BU8" i="5"/>
  <c r="CA33" i="5"/>
  <c r="CB18" i="5"/>
  <c r="CB33" i="5"/>
  <c r="CC33" i="5"/>
  <c r="CD23" i="5"/>
  <c r="BT4" i="5"/>
  <c r="CA14" i="5"/>
  <c r="CA23" i="5"/>
  <c r="CB23" i="5"/>
  <c r="CC23" i="5"/>
  <c r="AN9" i="5"/>
  <c r="AR46" i="5"/>
  <c r="AU46" i="5"/>
  <c r="AT46" i="5"/>
  <c r="AS46" i="5"/>
  <c r="AN7" i="5"/>
  <c r="AR44" i="5"/>
  <c r="AU44" i="5"/>
  <c r="AT44" i="5"/>
  <c r="AS44" i="5"/>
  <c r="BN4" i="5"/>
  <c r="BU14" i="5"/>
  <c r="BW29" i="5"/>
  <c r="BT29" i="5"/>
  <c r="BV29" i="5"/>
  <c r="BU29" i="5"/>
  <c r="CD27" i="5"/>
  <c r="BT8" i="5"/>
  <c r="CA27" i="5"/>
  <c r="CB27" i="5"/>
  <c r="CC27" i="5"/>
  <c r="CA18" i="5"/>
  <c r="CC35" i="5"/>
  <c r="BV4" i="5"/>
  <c r="CA41" i="5"/>
  <c r="CC14" i="5"/>
  <c r="CD35" i="5"/>
  <c r="CA35" i="5"/>
  <c r="CB35" i="5"/>
  <c r="CD39" i="5"/>
  <c r="BV8" i="5"/>
  <c r="CB39" i="5"/>
  <c r="CC18" i="5"/>
  <c r="CA39" i="5"/>
  <c r="CC39" i="5"/>
  <c r="CD37" i="5"/>
  <c r="BV6" i="5"/>
  <c r="CC16" i="5"/>
  <c r="CA37" i="5"/>
  <c r="CC37" i="5"/>
  <c r="CB37" i="5"/>
  <c r="AT45" i="5"/>
  <c r="AR40" i="5"/>
  <c r="CB6" i="5"/>
  <c r="CK31" i="5"/>
  <c r="CJ31" i="5"/>
  <c r="CH31" i="5"/>
  <c r="CI31" i="5"/>
  <c r="CI16" i="5"/>
  <c r="AS45" i="5"/>
  <c r="AR19" i="5" l="1"/>
  <c r="BB28" i="5" s="1"/>
  <c r="AR16" i="5"/>
  <c r="AR6" i="5" s="1"/>
  <c r="AR15" i="5"/>
  <c r="AR5" i="5" s="1"/>
  <c r="AS15" i="5"/>
  <c r="AU15" i="5"/>
  <c r="AU5" i="5" s="1"/>
  <c r="AT15" i="5"/>
  <c r="AT5" i="5" s="1"/>
  <c r="AT17" i="5"/>
  <c r="AT7" i="5" s="1"/>
  <c r="AS19" i="5"/>
  <c r="AZ28" i="5" s="1"/>
  <c r="AR17" i="5"/>
  <c r="AR7" i="5" s="1"/>
  <c r="AS17" i="5"/>
  <c r="AT19" i="5"/>
  <c r="AU6" i="5"/>
  <c r="AY43" i="5"/>
  <c r="AU18" i="5"/>
  <c r="AU8" i="5" s="1"/>
  <c r="AU17" i="5"/>
  <c r="CC8" i="5"/>
  <c r="CK39" i="5"/>
  <c r="CJ39" i="5"/>
  <c r="CH39" i="5"/>
  <c r="CJ18" i="5"/>
  <c r="CI39" i="5"/>
  <c r="CA8" i="5"/>
  <c r="CH18" i="5"/>
  <c r="CK27" i="5"/>
  <c r="CJ27" i="5"/>
  <c r="CI27" i="5"/>
  <c r="CH27" i="5"/>
  <c r="CR31" i="5"/>
  <c r="CI6" i="5"/>
  <c r="CP16" i="5"/>
  <c r="CP31" i="5"/>
  <c r="CQ31" i="5"/>
  <c r="CO31" i="5"/>
  <c r="CA4" i="5"/>
  <c r="CH14" i="5"/>
  <c r="CK23" i="5"/>
  <c r="CJ23" i="5"/>
  <c r="CI23" i="5"/>
  <c r="CH23" i="5"/>
  <c r="CC6" i="5"/>
  <c r="CK37" i="5"/>
  <c r="CJ37" i="5"/>
  <c r="CH37" i="5"/>
  <c r="CI37" i="5"/>
  <c r="CJ16" i="5"/>
  <c r="CD29" i="5"/>
  <c r="BU4" i="5"/>
  <c r="CA29" i="5"/>
  <c r="CB14" i="5"/>
  <c r="CB29" i="5"/>
  <c r="CC29" i="5"/>
  <c r="CC4" i="5"/>
  <c r="CK35" i="5"/>
  <c r="CJ35" i="5"/>
  <c r="CH41" i="5"/>
  <c r="CH35" i="5"/>
  <c r="CJ14" i="5"/>
  <c r="CI35" i="5"/>
  <c r="AU19" i="5"/>
  <c r="CB8" i="5"/>
  <c r="CI18" i="5"/>
  <c r="CK33" i="5"/>
  <c r="CJ33" i="5"/>
  <c r="CH33" i="5"/>
  <c r="CI33" i="5"/>
  <c r="AR9" i="5" l="1"/>
  <c r="BB34" i="5"/>
  <c r="BA28" i="5"/>
  <c r="AS9" i="5"/>
  <c r="AY28" i="5"/>
  <c r="AY25" i="5"/>
  <c r="BB24" i="5"/>
  <c r="AY30" i="5"/>
  <c r="AZ30" i="5"/>
  <c r="BB26" i="5"/>
  <c r="BB40" i="5"/>
  <c r="BB41" i="5"/>
  <c r="BA41" i="5"/>
  <c r="BA25" i="5"/>
  <c r="AZ25" i="5"/>
  <c r="BB25" i="5"/>
  <c r="AY24" i="5"/>
  <c r="BB36" i="5"/>
  <c r="AZ41" i="5"/>
  <c r="BA30" i="5"/>
  <c r="BA24" i="5"/>
  <c r="AZ32" i="5"/>
  <c r="BB30" i="5"/>
  <c r="AY36" i="5"/>
  <c r="BA42" i="5"/>
  <c r="AS5" i="5"/>
  <c r="BB42" i="5"/>
  <c r="AZ42" i="5"/>
  <c r="AZ24" i="5"/>
  <c r="BA36" i="5"/>
  <c r="AZ36" i="5"/>
  <c r="AY42" i="5"/>
  <c r="AZ26" i="5"/>
  <c r="BA32" i="5"/>
  <c r="AY26" i="5"/>
  <c r="BB38" i="5"/>
  <c r="AS7" i="5"/>
  <c r="AY32" i="5"/>
  <c r="BB32" i="5"/>
  <c r="BA26" i="5"/>
  <c r="AY34" i="5"/>
  <c r="AT9" i="5"/>
  <c r="AZ34" i="5"/>
  <c r="BA34" i="5"/>
  <c r="AY45" i="5"/>
  <c r="BA45" i="5"/>
  <c r="AY19" i="5"/>
  <c r="BI28" i="5" s="1"/>
  <c r="BA43" i="5"/>
  <c r="AZ43" i="5"/>
  <c r="BB43" i="5"/>
  <c r="BA38" i="5"/>
  <c r="CR39" i="5"/>
  <c r="CJ8" i="5"/>
  <c r="CQ39" i="5"/>
  <c r="CO39" i="5"/>
  <c r="CQ18" i="5"/>
  <c r="CP39" i="5"/>
  <c r="AY40" i="5"/>
  <c r="AZ40" i="5"/>
  <c r="CO35" i="5"/>
  <c r="CO41" i="5"/>
  <c r="CJ4" i="5"/>
  <c r="CQ14" i="5"/>
  <c r="CR35" i="5"/>
  <c r="CP35" i="5"/>
  <c r="CQ35" i="5"/>
  <c r="CP6" i="5"/>
  <c r="CW31" i="5"/>
  <c r="CV31" i="5"/>
  <c r="CW16" i="5"/>
  <c r="CX31" i="5"/>
  <c r="CY31" i="5"/>
  <c r="CR37" i="5"/>
  <c r="CJ6" i="5"/>
  <c r="CQ16" i="5"/>
  <c r="CP37" i="5"/>
  <c r="CQ37" i="5"/>
  <c r="CO37" i="5"/>
  <c r="BB45" i="5"/>
  <c r="AU9" i="5"/>
  <c r="BA46" i="5"/>
  <c r="AZ46" i="5"/>
  <c r="AY46" i="5"/>
  <c r="BB46" i="5"/>
  <c r="CR27" i="5"/>
  <c r="CH8" i="5"/>
  <c r="CP27" i="5"/>
  <c r="CQ27" i="5"/>
  <c r="CO18" i="5"/>
  <c r="CO27" i="5"/>
  <c r="AY38" i="5"/>
  <c r="BA40" i="5"/>
  <c r="CR33" i="5"/>
  <c r="CI8" i="5"/>
  <c r="CO33" i="5"/>
  <c r="CP18" i="5"/>
  <c r="CP33" i="5"/>
  <c r="CQ33" i="5"/>
  <c r="CB4" i="5"/>
  <c r="CI14" i="5"/>
  <c r="CK29" i="5"/>
  <c r="CJ29" i="5"/>
  <c r="CH29" i="5"/>
  <c r="CI29" i="5"/>
  <c r="CR23" i="5"/>
  <c r="CH4" i="5"/>
  <c r="CO14" i="5"/>
  <c r="CO23" i="5"/>
  <c r="CP23" i="5"/>
  <c r="CQ23" i="5"/>
  <c r="BB44" i="5"/>
  <c r="BA44" i="5"/>
  <c r="AZ44" i="5"/>
  <c r="AU7" i="5"/>
  <c r="AY44" i="5"/>
  <c r="AZ38" i="5"/>
  <c r="AZ45" i="5"/>
  <c r="AY16" i="5" l="1"/>
  <c r="AY6" i="5" s="1"/>
  <c r="AY15" i="5"/>
  <c r="AY5" i="5" s="1"/>
  <c r="BB15" i="5"/>
  <c r="BI41" i="5" s="1"/>
  <c r="AZ15" i="5"/>
  <c r="AZ5" i="5" s="1"/>
  <c r="BA15" i="5"/>
  <c r="BA5" i="5" s="1"/>
  <c r="AY17" i="5"/>
  <c r="AY7" i="5" s="1"/>
  <c r="BA19" i="5"/>
  <c r="BA9" i="5" s="1"/>
  <c r="AZ17" i="5"/>
  <c r="AZ7" i="5" s="1"/>
  <c r="AY9" i="5"/>
  <c r="AZ19" i="5"/>
  <c r="AZ9" i="5" s="1"/>
  <c r="BB16" i="5"/>
  <c r="BB18" i="5"/>
  <c r="BB8" i="5" s="1"/>
  <c r="BB17" i="5"/>
  <c r="BB7" i="5" s="1"/>
  <c r="CR29" i="5"/>
  <c r="CI4" i="5"/>
  <c r="CP29" i="5"/>
  <c r="CP14" i="5"/>
  <c r="CQ29" i="5"/>
  <c r="CO29" i="5"/>
  <c r="DF31" i="5"/>
  <c r="CW6" i="5"/>
  <c r="DD16" i="5"/>
  <c r="DD6" i="5" s="1"/>
  <c r="DE31" i="5"/>
  <c r="DC31" i="5"/>
  <c r="DD31" i="5"/>
  <c r="CQ4" i="5"/>
  <c r="CW35" i="5"/>
  <c r="CV35" i="5"/>
  <c r="CV41" i="5"/>
  <c r="CX35" i="5"/>
  <c r="CX14" i="5"/>
  <c r="CY35" i="5"/>
  <c r="CO4" i="5"/>
  <c r="CW23" i="5"/>
  <c r="CV23" i="5"/>
  <c r="CX23" i="5"/>
  <c r="CY23" i="5"/>
  <c r="CV14" i="5"/>
  <c r="CO8" i="5"/>
  <c r="CW27" i="5"/>
  <c r="CV27" i="5"/>
  <c r="CV18" i="5"/>
  <c r="CX27" i="5"/>
  <c r="CY27" i="5"/>
  <c r="CP8" i="5"/>
  <c r="CW33" i="5"/>
  <c r="CV33" i="5"/>
  <c r="CX33" i="5"/>
  <c r="CW18" i="5"/>
  <c r="CY33" i="5"/>
  <c r="BB19" i="5"/>
  <c r="CQ6" i="5"/>
  <c r="CX16" i="5"/>
  <c r="CX37" i="5"/>
  <c r="CV37" i="5"/>
  <c r="CY37" i="5"/>
  <c r="CW37" i="5"/>
  <c r="CQ8" i="5"/>
  <c r="CX18" i="5"/>
  <c r="CX39" i="5"/>
  <c r="CV39" i="5"/>
  <c r="CY39" i="5"/>
  <c r="CW39" i="5"/>
  <c r="BA17" i="5"/>
  <c r="BF36" i="5" l="1"/>
  <c r="BI24" i="5"/>
  <c r="BH30" i="5"/>
  <c r="BF30" i="5"/>
  <c r="BG30" i="5"/>
  <c r="BF25" i="5"/>
  <c r="BI30" i="5"/>
  <c r="BH36" i="5"/>
  <c r="BI36" i="5"/>
  <c r="BI42" i="5"/>
  <c r="BF42" i="5"/>
  <c r="BF24" i="5"/>
  <c r="BH24" i="5"/>
  <c r="BG24" i="5"/>
  <c r="BH41" i="5"/>
  <c r="BG41" i="5"/>
  <c r="BB5" i="5"/>
  <c r="BG36" i="5"/>
  <c r="BF26" i="5"/>
  <c r="BI40" i="5"/>
  <c r="BG25" i="5"/>
  <c r="BG26" i="5"/>
  <c r="BH25" i="5"/>
  <c r="BI26" i="5"/>
  <c r="BI25" i="5"/>
  <c r="BH28" i="5"/>
  <c r="BF28" i="5"/>
  <c r="BI34" i="5"/>
  <c r="BI32" i="5"/>
  <c r="BF34" i="5"/>
  <c r="BG28" i="5"/>
  <c r="BH26" i="5"/>
  <c r="BH34" i="5"/>
  <c r="BG34" i="5"/>
  <c r="BF45" i="5"/>
  <c r="BG44" i="5"/>
  <c r="BH45" i="5"/>
  <c r="BF44" i="5"/>
  <c r="BI43" i="5"/>
  <c r="BG43" i="5"/>
  <c r="BB6" i="5"/>
  <c r="BF43" i="5"/>
  <c r="BH43" i="5"/>
  <c r="BH42" i="5"/>
  <c r="BG42" i="5"/>
  <c r="DF33" i="5"/>
  <c r="CW8" i="5"/>
  <c r="DC33" i="5"/>
  <c r="DD33" i="5"/>
  <c r="DD18" i="5"/>
  <c r="DD8" i="5" s="1"/>
  <c r="DE33" i="5"/>
  <c r="BB9" i="5"/>
  <c r="BI46" i="5"/>
  <c r="BH46" i="5"/>
  <c r="BG46" i="5"/>
  <c r="BF46" i="5"/>
  <c r="BA7" i="5"/>
  <c r="BI38" i="5"/>
  <c r="BH38" i="5"/>
  <c r="BG38" i="5"/>
  <c r="BF38" i="5"/>
  <c r="BH32" i="5"/>
  <c r="BG32" i="5"/>
  <c r="DF39" i="5"/>
  <c r="CX8" i="5"/>
  <c r="DE18" i="5"/>
  <c r="DE8" i="5" s="1"/>
  <c r="DE39" i="5"/>
  <c r="DD39" i="5"/>
  <c r="DC39" i="5"/>
  <c r="BI45" i="5"/>
  <c r="BH44" i="5"/>
  <c r="BI44" i="5"/>
  <c r="BG45" i="5"/>
  <c r="DF23" i="5"/>
  <c r="CV4" i="5"/>
  <c r="DC14" i="5"/>
  <c r="DC4" i="5" s="1"/>
  <c r="DE23" i="5"/>
  <c r="DC23" i="5"/>
  <c r="DD23" i="5"/>
  <c r="DF27" i="5"/>
  <c r="CV8" i="5"/>
  <c r="DC18" i="5"/>
  <c r="DC8" i="5" s="1"/>
  <c r="DE27" i="5"/>
  <c r="DC27" i="5"/>
  <c r="DD27" i="5"/>
  <c r="BF40" i="5"/>
  <c r="BG40" i="5"/>
  <c r="DF37" i="5"/>
  <c r="CX6" i="5"/>
  <c r="DE37" i="5"/>
  <c r="DD37" i="5"/>
  <c r="DC37" i="5"/>
  <c r="DE16" i="5"/>
  <c r="DE6" i="5" s="1"/>
  <c r="CP4" i="5"/>
  <c r="CW29" i="5"/>
  <c r="CV29" i="5"/>
  <c r="CW14" i="5"/>
  <c r="CX29" i="5"/>
  <c r="CY29" i="5"/>
  <c r="BF32" i="5"/>
  <c r="BH40" i="5"/>
  <c r="DE35" i="5"/>
  <c r="DE14" i="5"/>
  <c r="DE4" i="5" s="1"/>
  <c r="CX4" i="5"/>
  <c r="DD35" i="5"/>
  <c r="DF35" i="5"/>
  <c r="DC35" i="5"/>
  <c r="DC41" i="5"/>
  <c r="BH15" i="5" l="1"/>
  <c r="BF15" i="5"/>
  <c r="BF5" i="5" s="1"/>
  <c r="BG15" i="5"/>
  <c r="BG5" i="5" s="1"/>
  <c r="BF16" i="5"/>
  <c r="BF17" i="5"/>
  <c r="BF7" i="5" s="1"/>
  <c r="BF19" i="5"/>
  <c r="BP28" i="5" s="1"/>
  <c r="BG19" i="5"/>
  <c r="BI18" i="5"/>
  <c r="BI8" i="5" s="1"/>
  <c r="BI15" i="5"/>
  <c r="BI5" i="5" s="1"/>
  <c r="BI16" i="5"/>
  <c r="BI6" i="5" s="1"/>
  <c r="BI17" i="5"/>
  <c r="BI7" i="5" s="1"/>
  <c r="BI19" i="5"/>
  <c r="BH19" i="5"/>
  <c r="BH17" i="5"/>
  <c r="BG17" i="5"/>
  <c r="DF29" i="5"/>
  <c r="CW4" i="5"/>
  <c r="DE29" i="5"/>
  <c r="DC29" i="5"/>
  <c r="DD29" i="5"/>
  <c r="DD14" i="5"/>
  <c r="DD4" i="5" s="1"/>
  <c r="BP24" i="5" l="1"/>
  <c r="BO30" i="5"/>
  <c r="BM24" i="5"/>
  <c r="BN30" i="5"/>
  <c r="BM30" i="5"/>
  <c r="BP36" i="5"/>
  <c r="BH5" i="5"/>
  <c r="BP30" i="5"/>
  <c r="BN25" i="5"/>
  <c r="BO25" i="5"/>
  <c r="BF6" i="5"/>
  <c r="BN24" i="5"/>
  <c r="BP25" i="5"/>
  <c r="BM25" i="5"/>
  <c r="BM26" i="5"/>
  <c r="BO24" i="5"/>
  <c r="BF9" i="5"/>
  <c r="BO28" i="5"/>
  <c r="BP26" i="5"/>
  <c r="BN28" i="5"/>
  <c r="BM28" i="5"/>
  <c r="BO36" i="5"/>
  <c r="BG9" i="5"/>
  <c r="BP42" i="5"/>
  <c r="BP41" i="5"/>
  <c r="BP34" i="5"/>
  <c r="BN36" i="5"/>
  <c r="BN43" i="5"/>
  <c r="BN41" i="5"/>
  <c r="BM36" i="5"/>
  <c r="BM42" i="5"/>
  <c r="BN42" i="5"/>
  <c r="BO42" i="5"/>
  <c r="BO41" i="5"/>
  <c r="BN46" i="5"/>
  <c r="BM45" i="5"/>
  <c r="BO45" i="5"/>
  <c r="BM43" i="5"/>
  <c r="BP45" i="5"/>
  <c r="BN44" i="5"/>
  <c r="BO44" i="5"/>
  <c r="BP46" i="5"/>
  <c r="BO43" i="5"/>
  <c r="BP43" i="5"/>
  <c r="BP16" i="5" s="1"/>
  <c r="BT43" i="5" s="1"/>
  <c r="BN45" i="5"/>
  <c r="BI9" i="5"/>
  <c r="BM46" i="5"/>
  <c r="BO46" i="5"/>
  <c r="BP32" i="5"/>
  <c r="BO32" i="5"/>
  <c r="BN32" i="5"/>
  <c r="BM32" i="5"/>
  <c r="BG7" i="5"/>
  <c r="BO26" i="5"/>
  <c r="BN26" i="5"/>
  <c r="BP38" i="5"/>
  <c r="BO38" i="5"/>
  <c r="BN38" i="5"/>
  <c r="BM38" i="5"/>
  <c r="BH7" i="5"/>
  <c r="BO40" i="5"/>
  <c r="BN40" i="5"/>
  <c r="BM40" i="5"/>
  <c r="BH9" i="5"/>
  <c r="BP40" i="5"/>
  <c r="BM34" i="5"/>
  <c r="BO34" i="5"/>
  <c r="BN34" i="5"/>
  <c r="BP44" i="5"/>
  <c r="BM44" i="5"/>
  <c r="BN15" i="5" l="1"/>
  <c r="BN5" i="5" s="1"/>
  <c r="BM15" i="5"/>
  <c r="BM5" i="5" s="1"/>
  <c r="BM16" i="5"/>
  <c r="BM19" i="5"/>
  <c r="BM9" i="5" s="1"/>
  <c r="BO15" i="5"/>
  <c r="BP15" i="5"/>
  <c r="BU41" i="5" s="1"/>
  <c r="BP19" i="5"/>
  <c r="BP9" i="5" s="1"/>
  <c r="BP18" i="5"/>
  <c r="BP6" i="5"/>
  <c r="BM17" i="5"/>
  <c r="BM6" i="5"/>
  <c r="BO19" i="5"/>
  <c r="BO9" i="5" s="1"/>
  <c r="BO17" i="5"/>
  <c r="BO7" i="5" s="1"/>
  <c r="BP17" i="5"/>
  <c r="BN19" i="5"/>
  <c r="BN17" i="5"/>
  <c r="BV25" i="5" l="1"/>
  <c r="BV24" i="5"/>
  <c r="BW24" i="5"/>
  <c r="BU24" i="5"/>
  <c r="BV30" i="5"/>
  <c r="BT24" i="5"/>
  <c r="BW36" i="5"/>
  <c r="BU30" i="5"/>
  <c r="BW30" i="5"/>
  <c r="BT25" i="5"/>
  <c r="BO5" i="5"/>
  <c r="BT30" i="5"/>
  <c r="BW28" i="5"/>
  <c r="BW42" i="5"/>
  <c r="BW41" i="5"/>
  <c r="BV36" i="5"/>
  <c r="BT36" i="5"/>
  <c r="BP5" i="5"/>
  <c r="BU36" i="5"/>
  <c r="BV41" i="5"/>
  <c r="BT42" i="5"/>
  <c r="BV42" i="5"/>
  <c r="BU42" i="5"/>
  <c r="BV45" i="5"/>
  <c r="BW25" i="5"/>
  <c r="BW38" i="5"/>
  <c r="BU46" i="5"/>
  <c r="BP8" i="5"/>
  <c r="BU25" i="5"/>
  <c r="BW26" i="5"/>
  <c r="BM7" i="5"/>
  <c r="BV46" i="5"/>
  <c r="BW46" i="5"/>
  <c r="BT40" i="5"/>
  <c r="BW43" i="5"/>
  <c r="BV43" i="5"/>
  <c r="BU43" i="5"/>
  <c r="BU40" i="5"/>
  <c r="BT46" i="5"/>
  <c r="BV38" i="5"/>
  <c r="BP7" i="5"/>
  <c r="BU44" i="5"/>
  <c r="BT44" i="5"/>
  <c r="BV44" i="5"/>
  <c r="BW44" i="5"/>
  <c r="BN7" i="5"/>
  <c r="BV32" i="5"/>
  <c r="BU32" i="5"/>
  <c r="BT32" i="5"/>
  <c r="BW32" i="5"/>
  <c r="BT38" i="5"/>
  <c r="BW40" i="5"/>
  <c r="BU38" i="5"/>
  <c r="BV40" i="5"/>
  <c r="BT26" i="5"/>
  <c r="BU26" i="5"/>
  <c r="BW45" i="5"/>
  <c r="BT45" i="5"/>
  <c r="BV26" i="5"/>
  <c r="BU45" i="5"/>
  <c r="BN9" i="5"/>
  <c r="BV34" i="5"/>
  <c r="BU34" i="5"/>
  <c r="BT34" i="5"/>
  <c r="BW34" i="5"/>
  <c r="BU28" i="5"/>
  <c r="BT28" i="5"/>
  <c r="BV28" i="5"/>
  <c r="BT15" i="5" l="1"/>
  <c r="BT5" i="5" s="1"/>
  <c r="BU15" i="5"/>
  <c r="BU5" i="5" s="1"/>
  <c r="BV15" i="5"/>
  <c r="BW15" i="5"/>
  <c r="CC41" i="5" s="1"/>
  <c r="BT16" i="5"/>
  <c r="BT6" i="5" s="1"/>
  <c r="BW19" i="5"/>
  <c r="BW16" i="5"/>
  <c r="BW17" i="5"/>
  <c r="BW7" i="5" s="1"/>
  <c r="BV19" i="5"/>
  <c r="BU19" i="5"/>
  <c r="BU9" i="5" s="1"/>
  <c r="BV5" i="5"/>
  <c r="BW18" i="5"/>
  <c r="BV17" i="5"/>
  <c r="BU17" i="5"/>
  <c r="BT19" i="5"/>
  <c r="BT17" i="5"/>
  <c r="CA30" i="5" l="1"/>
  <c r="CC30" i="5"/>
  <c r="CD30" i="5"/>
  <c r="CA24" i="5"/>
  <c r="CD36" i="5"/>
  <c r="CB30" i="5"/>
  <c r="CB41" i="5"/>
  <c r="BW5" i="5"/>
  <c r="CA36" i="5"/>
  <c r="CB36" i="5"/>
  <c r="CA42" i="5"/>
  <c r="CC36" i="5"/>
  <c r="CD41" i="5"/>
  <c r="CB42" i="5"/>
  <c r="CC42" i="5"/>
  <c r="CD24" i="5"/>
  <c r="BW6" i="5"/>
  <c r="CA25" i="5"/>
  <c r="CB24" i="5"/>
  <c r="CC24" i="5"/>
  <c r="CD42" i="5"/>
  <c r="CB43" i="5"/>
  <c r="CA43" i="5"/>
  <c r="CC43" i="5"/>
  <c r="CC46" i="5"/>
  <c r="CB34" i="5"/>
  <c r="BW9" i="5"/>
  <c r="CD43" i="5"/>
  <c r="CD16" i="5" s="1"/>
  <c r="CD6" i="5" s="1"/>
  <c r="CB44" i="5"/>
  <c r="CC40" i="5"/>
  <c r="CD44" i="5"/>
  <c r="CA34" i="5"/>
  <c r="CD40" i="5"/>
  <c r="BV9" i="5"/>
  <c r="CA46" i="5"/>
  <c r="CA40" i="5"/>
  <c r="CB40" i="5"/>
  <c r="CB46" i="5"/>
  <c r="CC44" i="5"/>
  <c r="CD34" i="5"/>
  <c r="CD46" i="5"/>
  <c r="CD38" i="5"/>
  <c r="CC38" i="5"/>
  <c r="CB38" i="5"/>
  <c r="CA38" i="5"/>
  <c r="BV7" i="5"/>
  <c r="CD26" i="5"/>
  <c r="BT7" i="5"/>
  <c r="CB26" i="5"/>
  <c r="CC26" i="5"/>
  <c r="CA26" i="5"/>
  <c r="CD25" i="5"/>
  <c r="CB25" i="5"/>
  <c r="CC25" i="5"/>
  <c r="CD28" i="5"/>
  <c r="BT9" i="5"/>
  <c r="CA28" i="5"/>
  <c r="CB28" i="5"/>
  <c r="CC28" i="5"/>
  <c r="CC34" i="5"/>
  <c r="CA45" i="5"/>
  <c r="BW8" i="5"/>
  <c r="CD45" i="5"/>
  <c r="CC45" i="5"/>
  <c r="CB45" i="5"/>
  <c r="BU7" i="5"/>
  <c r="CD32" i="5"/>
  <c r="CC32" i="5"/>
  <c r="CB32" i="5"/>
  <c r="CA32" i="5"/>
  <c r="CA44" i="5"/>
  <c r="CB15" i="5" l="1"/>
  <c r="CB5" i="5" s="1"/>
  <c r="CC15" i="5"/>
  <c r="CK36" i="5" s="1"/>
  <c r="CD15" i="5"/>
  <c r="CA15" i="5"/>
  <c r="CK30" i="5" s="1"/>
  <c r="CD17" i="5"/>
  <c r="CJ43" i="5"/>
  <c r="CB19" i="5"/>
  <c r="CD18" i="5"/>
  <c r="CD8" i="5" s="1"/>
  <c r="CC19" i="5"/>
  <c r="CC9" i="5" s="1"/>
  <c r="CK43" i="5"/>
  <c r="CH43" i="5"/>
  <c r="CI43" i="5"/>
  <c r="CD19" i="5"/>
  <c r="CA17" i="5"/>
  <c r="CA7" i="5" s="1"/>
  <c r="CA19" i="5"/>
  <c r="CA9" i="5" s="1"/>
  <c r="CB17" i="5"/>
  <c r="CB7" i="5" s="1"/>
  <c r="CA16" i="5"/>
  <c r="CC17" i="5"/>
  <c r="CC5" i="5" l="1"/>
  <c r="CJ30" i="5"/>
  <c r="CI30" i="5"/>
  <c r="CH30" i="5"/>
  <c r="CH36" i="5"/>
  <c r="CH24" i="5"/>
  <c r="CA5" i="5"/>
  <c r="CK28" i="5"/>
  <c r="CI36" i="5"/>
  <c r="CK42" i="5"/>
  <c r="CI41" i="5"/>
  <c r="CH42" i="5"/>
  <c r="CJ42" i="5"/>
  <c r="CJ41" i="5"/>
  <c r="CD5" i="5"/>
  <c r="CJ36" i="5"/>
  <c r="CI42" i="5"/>
  <c r="CK41" i="5"/>
  <c r="CJ45" i="5"/>
  <c r="CI46" i="5"/>
  <c r="CH45" i="5"/>
  <c r="CK45" i="5"/>
  <c r="CI44" i="5"/>
  <c r="CD7" i="5"/>
  <c r="CK44" i="5"/>
  <c r="CJ46" i="5"/>
  <c r="CK34" i="5"/>
  <c r="CH46" i="5"/>
  <c r="CI40" i="5"/>
  <c r="CH28" i="5"/>
  <c r="CI45" i="5"/>
  <c r="CJ34" i="5"/>
  <c r="CI28" i="5"/>
  <c r="CK40" i="5"/>
  <c r="CI34" i="5"/>
  <c r="CJ40" i="5"/>
  <c r="CB9" i="5"/>
  <c r="CH40" i="5"/>
  <c r="CK46" i="5"/>
  <c r="CH34" i="5"/>
  <c r="CD9" i="5"/>
  <c r="CK26" i="5"/>
  <c r="CJ28" i="5"/>
  <c r="CH32" i="5"/>
  <c r="CI26" i="5"/>
  <c r="CJ44" i="5"/>
  <c r="CI32" i="5"/>
  <c r="CH44" i="5"/>
  <c r="CJ24" i="5"/>
  <c r="CI25" i="5"/>
  <c r="CK16" i="5"/>
  <c r="CJ26" i="5"/>
  <c r="CK24" i="5"/>
  <c r="CK32" i="5"/>
  <c r="CH26" i="5"/>
  <c r="CH25" i="5"/>
  <c r="CI24" i="5"/>
  <c r="CJ25" i="5"/>
  <c r="CK25" i="5"/>
  <c r="CA6" i="5"/>
  <c r="CC7" i="5"/>
  <c r="CI38" i="5"/>
  <c r="CH38" i="5"/>
  <c r="CJ38" i="5"/>
  <c r="CK38" i="5"/>
  <c r="CI15" i="5"/>
  <c r="CJ32" i="5"/>
  <c r="CK15" i="5" l="1"/>
  <c r="CP41" i="5" s="1"/>
  <c r="CJ15" i="5"/>
  <c r="CJ5" i="5" s="1"/>
  <c r="CI19" i="5"/>
  <c r="CK19" i="5"/>
  <c r="CK9" i="5" s="1"/>
  <c r="CK18" i="5"/>
  <c r="CH19" i="5"/>
  <c r="CR28" i="5" s="1"/>
  <c r="CK17" i="5"/>
  <c r="CJ19" i="5"/>
  <c r="CI17" i="5"/>
  <c r="CI7" i="5" s="1"/>
  <c r="CH15" i="5"/>
  <c r="CH5" i="5" s="1"/>
  <c r="CR43" i="5"/>
  <c r="CK6" i="5"/>
  <c r="CP43" i="5"/>
  <c r="CQ43" i="5"/>
  <c r="CR16" i="5" s="1"/>
  <c r="CO43" i="5"/>
  <c r="CH16" i="5"/>
  <c r="CH17" i="5"/>
  <c r="CH7" i="5" s="1"/>
  <c r="CJ17" i="5"/>
  <c r="CI5" i="5"/>
  <c r="CQ45" i="5" l="1"/>
  <c r="CR45" i="5"/>
  <c r="CK8" i="5"/>
  <c r="CR41" i="5"/>
  <c r="CQ41" i="5"/>
  <c r="CP42" i="5"/>
  <c r="CK5" i="5"/>
  <c r="CR42" i="5"/>
  <c r="CO36" i="5"/>
  <c r="CQ36" i="5"/>
  <c r="CR36" i="5"/>
  <c r="CP36" i="5"/>
  <c r="CP30" i="5"/>
  <c r="CQ42" i="5"/>
  <c r="CO42" i="5"/>
  <c r="CQ46" i="5"/>
  <c r="CQ28" i="5"/>
  <c r="CP46" i="5"/>
  <c r="CQ40" i="5"/>
  <c r="CK7" i="5"/>
  <c r="CO34" i="5"/>
  <c r="CR40" i="5"/>
  <c r="CR34" i="5"/>
  <c r="CP34" i="5"/>
  <c r="CI9" i="5"/>
  <c r="CO46" i="5"/>
  <c r="CP40" i="5"/>
  <c r="CP28" i="5"/>
  <c r="CQ30" i="5"/>
  <c r="CP44" i="5"/>
  <c r="CR30" i="5"/>
  <c r="CR46" i="5"/>
  <c r="CO40" i="5"/>
  <c r="CP45" i="5"/>
  <c r="CJ9" i="5"/>
  <c r="CQ24" i="5"/>
  <c r="CO24" i="5"/>
  <c r="CO30" i="5"/>
  <c r="CR26" i="5"/>
  <c r="CO28" i="5"/>
  <c r="CH9" i="5"/>
  <c r="CQ34" i="5"/>
  <c r="CO45" i="5"/>
  <c r="CO25" i="5"/>
  <c r="CR24" i="5"/>
  <c r="CQ44" i="5"/>
  <c r="CO26" i="5"/>
  <c r="CR25" i="5"/>
  <c r="CP25" i="5"/>
  <c r="CQ25" i="5"/>
  <c r="CP26" i="5"/>
  <c r="CR32" i="5"/>
  <c r="CR6" i="5"/>
  <c r="CH6" i="5"/>
  <c r="CP24" i="5"/>
  <c r="CQ26" i="5"/>
  <c r="CR38" i="5"/>
  <c r="CQ38" i="5"/>
  <c r="CP38" i="5"/>
  <c r="CO38" i="5"/>
  <c r="CJ7" i="5"/>
  <c r="CP32" i="5"/>
  <c r="CR44" i="5"/>
  <c r="CQ32" i="5"/>
  <c r="CO32" i="5"/>
  <c r="CO44" i="5"/>
  <c r="CR15" i="5" l="1"/>
  <c r="CY41" i="5" s="1"/>
  <c r="CQ15" i="5"/>
  <c r="CQ5" i="5" s="1"/>
  <c r="CP15" i="5"/>
  <c r="CP5" i="5" s="1"/>
  <c r="CP19" i="5"/>
  <c r="CP9" i="5" s="1"/>
  <c r="CR19" i="5"/>
  <c r="CR9" i="5" s="1"/>
  <c r="CR18" i="5"/>
  <c r="CR8" i="5" s="1"/>
  <c r="CQ19" i="5"/>
  <c r="CQ9" i="5" s="1"/>
  <c r="CO19" i="5"/>
  <c r="CO9" i="5" s="1"/>
  <c r="CO15" i="5"/>
  <c r="CO5" i="5" s="1"/>
  <c r="CO16" i="5"/>
  <c r="CO17" i="5"/>
  <c r="CV43" i="5"/>
  <c r="CQ17" i="5"/>
  <c r="CR17" i="5"/>
  <c r="CX43" i="5" s="1"/>
  <c r="CP17" i="5"/>
  <c r="CR5" i="5" l="1"/>
  <c r="CW42" i="5"/>
  <c r="CX41" i="5"/>
  <c r="CW41" i="5"/>
  <c r="CW40" i="5"/>
  <c r="CV42" i="5"/>
  <c r="CV40" i="5"/>
  <c r="CY42" i="5"/>
  <c r="CW36" i="5"/>
  <c r="CX36" i="5"/>
  <c r="CY36" i="5"/>
  <c r="CX42" i="5"/>
  <c r="CW30" i="5"/>
  <c r="CV36" i="5"/>
  <c r="CX46" i="5"/>
  <c r="CX45" i="5"/>
  <c r="CW46" i="5"/>
  <c r="CY40" i="5"/>
  <c r="CV46" i="5"/>
  <c r="CW34" i="5"/>
  <c r="CX25" i="5"/>
  <c r="CY46" i="5"/>
  <c r="CX40" i="5"/>
  <c r="CW28" i="5"/>
  <c r="CX28" i="5"/>
  <c r="CV34" i="5"/>
  <c r="CX34" i="5"/>
  <c r="CV28" i="5"/>
  <c r="CY34" i="5"/>
  <c r="CY28" i="5"/>
  <c r="CW25" i="5"/>
  <c r="CV25" i="5"/>
  <c r="CX30" i="5"/>
  <c r="CV24" i="5"/>
  <c r="CX24" i="5"/>
  <c r="CV30" i="5"/>
  <c r="CY30" i="5"/>
  <c r="CW24" i="5"/>
  <c r="CY24" i="5"/>
  <c r="CO6" i="5"/>
  <c r="CO7" i="5"/>
  <c r="CV26" i="5"/>
  <c r="CY26" i="5"/>
  <c r="CY25" i="5"/>
  <c r="CW43" i="5"/>
  <c r="CY43" i="5"/>
  <c r="CY16" i="5" s="1"/>
  <c r="CX26" i="5"/>
  <c r="CW26" i="5"/>
  <c r="CR7" i="5"/>
  <c r="CY44" i="5"/>
  <c r="CX44" i="5"/>
  <c r="CW44" i="5"/>
  <c r="CV44" i="5"/>
  <c r="CQ7" i="5"/>
  <c r="CY38" i="5"/>
  <c r="CX38" i="5"/>
  <c r="CW38" i="5"/>
  <c r="CV38" i="5"/>
  <c r="CV45" i="5"/>
  <c r="CW45" i="5"/>
  <c r="CP7" i="5"/>
  <c r="CY32" i="5"/>
  <c r="CX32" i="5"/>
  <c r="CV32" i="5"/>
  <c r="CW32" i="5"/>
  <c r="CY45" i="5"/>
  <c r="CX15" i="5" l="1"/>
  <c r="CX5" i="5" s="1"/>
  <c r="CY15" i="5"/>
  <c r="CY5" i="5" s="1"/>
  <c r="CX19" i="5"/>
  <c r="CX9" i="5" s="1"/>
  <c r="CY19" i="5"/>
  <c r="CY9" i="5" s="1"/>
  <c r="CV19" i="5"/>
  <c r="CW19" i="5"/>
  <c r="CW9" i="5" s="1"/>
  <c r="CW15" i="5"/>
  <c r="CV15" i="5"/>
  <c r="CV5" i="5" s="1"/>
  <c r="CV16" i="5"/>
  <c r="CV17" i="5"/>
  <c r="CY6" i="5"/>
  <c r="DC43" i="5"/>
  <c r="CW17" i="5"/>
  <c r="CY17" i="5"/>
  <c r="DF43" i="5" s="1"/>
  <c r="CX17" i="5"/>
  <c r="DF28" i="5"/>
  <c r="CY18" i="5"/>
  <c r="DF41" i="5" l="1"/>
  <c r="DC42" i="5"/>
  <c r="DD30" i="5"/>
  <c r="DF42" i="5"/>
  <c r="DE41" i="5"/>
  <c r="DE36" i="5"/>
  <c r="DE28" i="5"/>
  <c r="DD41" i="5"/>
  <c r="DE42" i="5"/>
  <c r="DD42" i="5"/>
  <c r="DD36" i="5"/>
  <c r="DF36" i="5"/>
  <c r="CW5" i="5"/>
  <c r="DC40" i="5"/>
  <c r="DE46" i="5"/>
  <c r="DD40" i="5"/>
  <c r="DC28" i="5"/>
  <c r="DF34" i="5"/>
  <c r="CV9" i="5"/>
  <c r="DD34" i="5"/>
  <c r="DF30" i="5"/>
  <c r="DE40" i="5"/>
  <c r="DC36" i="5"/>
  <c r="DE24" i="5"/>
  <c r="DE30" i="5"/>
  <c r="DC34" i="5"/>
  <c r="DE34" i="5"/>
  <c r="DD28" i="5"/>
  <c r="DF40" i="5"/>
  <c r="DC25" i="5"/>
  <c r="CV6" i="5"/>
  <c r="DF24" i="5"/>
  <c r="DC24" i="5"/>
  <c r="DD24" i="5"/>
  <c r="DC30" i="5"/>
  <c r="DE25" i="5"/>
  <c r="DD32" i="5"/>
  <c r="DF25" i="5"/>
  <c r="CV7" i="5"/>
  <c r="DF26" i="5"/>
  <c r="DD25" i="5"/>
  <c r="DC32" i="5"/>
  <c r="DF44" i="5"/>
  <c r="DD43" i="5"/>
  <c r="CW7" i="5"/>
  <c r="DC44" i="5"/>
  <c r="CY7" i="5"/>
  <c r="DC26" i="5"/>
  <c r="DD26" i="5"/>
  <c r="DE32" i="5"/>
  <c r="DE43" i="5"/>
  <c r="DE26" i="5"/>
  <c r="DF46" i="5"/>
  <c r="DF32" i="5"/>
  <c r="DC45" i="5"/>
  <c r="CY8" i="5"/>
  <c r="DF45" i="5"/>
  <c r="DE45" i="5"/>
  <c r="DD45" i="5"/>
  <c r="DC46" i="5"/>
  <c r="DD46" i="5"/>
  <c r="DF38" i="5"/>
  <c r="DE38" i="5"/>
  <c r="CX7" i="5"/>
  <c r="DD38" i="5"/>
  <c r="DC38" i="5"/>
  <c r="DD44" i="5"/>
  <c r="DE44" i="5"/>
  <c r="DF15" i="5" l="1"/>
  <c r="DF5" i="5" s="1"/>
  <c r="DE15" i="5"/>
  <c r="DE5" i="5" s="1"/>
  <c r="DC19" i="5"/>
  <c r="DC9" i="5" s="1"/>
  <c r="DC15" i="5"/>
  <c r="DC5" i="5" s="1"/>
  <c r="DE19" i="5"/>
  <c r="DE9" i="5" s="1"/>
  <c r="DD19" i="5"/>
  <c r="DD9" i="5" s="1"/>
  <c r="DD15" i="5"/>
  <c r="DD5" i="5" s="1"/>
  <c r="DC16" i="5"/>
  <c r="DC6" i="5" s="1"/>
  <c r="DF16" i="5"/>
  <c r="DF6" i="5" s="1"/>
  <c r="DD17" i="5"/>
  <c r="DD7" i="5" s="1"/>
  <c r="DC17" i="5"/>
  <c r="DC7" i="5" s="1"/>
  <c r="DE17" i="5"/>
  <c r="DE7" i="5" s="1"/>
  <c r="DF17" i="5"/>
  <c r="DF7" i="5" s="1"/>
  <c r="DF19" i="5"/>
  <c r="DF9" i="5" s="1"/>
  <c r="DF18" i="5"/>
  <c r="DF8" i="5" s="1"/>
</calcChain>
</file>

<file path=xl/sharedStrings.xml><?xml version="1.0" encoding="utf-8"?>
<sst xmlns="http://schemas.openxmlformats.org/spreadsheetml/2006/main" count="1285" uniqueCount="38">
  <si>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</si>
  <si>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</si>
  <si>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</si>
  <si>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</si>
  <si>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</si>
  <si>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</si>
  <si>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</si>
  <si>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</si>
  <si>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</si>
  <si>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^</t>
  </si>
  <si>
    <t>&gt;</t>
  </si>
  <si>
    <t>v</t>
  </si>
  <si>
    <t>&lt;</t>
  </si>
  <si>
    <t>90 deg left</t>
  </si>
  <si>
    <t>90 deg right</t>
  </si>
  <si>
    <t>Hit wall, new state is current state</t>
  </si>
  <si>
    <t>State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</si>
  <si>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</si>
  <si>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</si>
  <si>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</si>
  <si>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</si>
  <si>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</si>
  <si>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</si>
  <si>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</si>
  <si>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</si>
  <si>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</si>
  <si>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</si>
  <si>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</si>
  <si>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</si>
  <si>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w</t>
  </si>
  <si>
    <t>x</t>
  </si>
  <si>
    <t>Legend</t>
  </si>
  <si>
    <t>Goal</t>
  </si>
  <si>
    <t>Towards dir</t>
  </si>
  <si>
    <t>Discount rate (Lower than Goal State only):</t>
  </si>
  <si>
    <t>reward (step)  [Lower than Goal State only]:</t>
  </si>
  <si>
    <t>Boundary</t>
  </si>
  <si>
    <t>Blockage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</si>
</sst>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8" tint="-0.49998474074526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2" borderId="0" xfId="0" applyFill="1"/>
    <xf numFmtId="0" fontId="1" fillId="3" borderId="0" xfId="0" applyFont="1" applyFill="1"/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1" xfId="0" applyBorder="1"/>
    <xf numFmtId="0" fontId="1" fillId="0" borderId="0" xfId="0" applyFont="1" applyFill="1" applyBorder="1"/>
    <xf numFmtId="0" fontId="0" fillId="4" borderId="1" xfId="0" applyFill="1" applyBorder="1" applyAlignment="1">
      <alignment horizont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A15B4-0A78-4319-ADAC-049CA9C9030E}">
  <dimension ref="A1:DG47"/>
  <sheetViews>
    <sheetView tabSelected="1" workbookViewId="0"/>
  </sheetViews>
  <sheetFormatPr defaultRowHeight="15" x14ac:dyDescent="0.25"/>
  <cols>
    <col min="1" max="1" width="40.42578125" bestFit="1" customWidth="1"/>
    <col min="2" max="2" width="13" customWidth="1"/>
  </cols>
  <sheetData>
    <row r="1" spans="1:111" x14ac:dyDescent="0.25">
      <c r="A1" s="12" t="s">
        <v>0</v>
      </c>
      <c r="B1" t="s">
        <v>6</v>
      </c>
      <c r="C1" t="s">
        <v>20</v>
      </c>
      <c r="D1" t="s">
        <v>26</v>
      </c>
    </row>
    <row r="2" spans="1:111" x14ac:dyDescent="0.25">
      <c r="A2" s="12" t="s">
        <v>1</v>
      </c>
      <c r="B2" t="s">
        <v>7</v>
      </c>
      <c r="C2" t="s">
        <v>21</v>
      </c>
      <c r="D2" t="s">
        <v>27</v>
      </c>
    </row>
    <row r="3" spans="1:111" x14ac:dyDescent="0.25">
      <c r="A3" s="12" t="s">
        <v>2</v>
      </c>
      <c r="B3" t="s">
        <v>8</v>
      </c>
      <c r="C3" t="s">
        <v>22</v>
      </c>
      <c r="D3" t="s">
        <v>28</v>
      </c>
      <c r="H3" s="5" t="s">
        <v>30</v>
      </c>
      <c r="I3" s="5" t="s">
        <v>30</v>
      </c>
      <c r="J3" s="5" t="s">
        <v>30</v>
      </c>
      <c r="K3" s="5" t="s">
        <v>30</v>
      </c>
      <c r="L3" s="5" t="s">
        <v>30</v>
      </c>
      <c r="M3" s="5" t="s">
        <v>30</v>
      </c>
      <c r="O3" s="5" t="s">
        <v>30</v>
      </c>
      <c r="P3" s="5" t="s">
        <v>30</v>
      </c>
      <c r="Q3" s="5" t="s">
        <v>30</v>
      </c>
      <c r="R3" s="5" t="s">
        <v>30</v>
      </c>
      <c r="S3" s="5" t="s">
        <v>30</v>
      </c>
      <c r="T3" s="5" t="s">
        <v>30</v>
      </c>
      <c r="V3" s="5" t="s">
        <v>30</v>
      </c>
      <c r="W3" s="5" t="s">
        <v>30</v>
      </c>
      <c r="X3" s="5" t="s">
        <v>30</v>
      </c>
      <c r="Y3" s="5" t="s">
        <v>30</v>
      </c>
      <c r="Z3" s="5" t="s">
        <v>30</v>
      </c>
      <c r="AA3" s="5" t="s">
        <v>30</v>
      </c>
      <c r="AC3" s="5" t="s">
        <v>30</v>
      </c>
      <c r="AD3" s="5" t="s">
        <v>30</v>
      </c>
      <c r="AE3" s="5" t="s">
        <v>30</v>
      </c>
      <c r="AF3" s="5" t="s">
        <v>30</v>
      </c>
      <c r="AG3" s="5" t="s">
        <v>30</v>
      </c>
      <c r="AH3" s="5" t="s">
        <v>30</v>
      </c>
      <c r="AJ3" s="5" t="s">
        <v>30</v>
      </c>
      <c r="AK3" s="5" t="s">
        <v>30</v>
      </c>
      <c r="AL3" s="5" t="s">
        <v>30</v>
      </c>
      <c r="AM3" s="5" t="s">
        <v>30</v>
      </c>
      <c r="AN3" s="5" t="s">
        <v>30</v>
      </c>
      <c r="AO3" s="5" t="s">
        <v>30</v>
      </c>
      <c r="AQ3" s="5" t="s">
        <v>30</v>
      </c>
      <c r="AR3" s="5" t="s">
        <v>30</v>
      </c>
      <c r="AS3" s="5" t="s">
        <v>30</v>
      </c>
      <c r="AT3" s="5" t="s">
        <v>30</v>
      </c>
      <c r="AU3" s="5" t="s">
        <v>30</v>
      </c>
      <c r="AV3" s="5" t="s">
        <v>30</v>
      </c>
      <c r="AX3" s="5" t="s">
        <v>30</v>
      </c>
      <c r="AY3" s="5" t="s">
        <v>30</v>
      </c>
      <c r="AZ3" s="5" t="s">
        <v>30</v>
      </c>
      <c r="BA3" s="5" t="s">
        <v>30</v>
      </c>
      <c r="BB3" s="5" t="s">
        <v>30</v>
      </c>
      <c r="BC3" s="5" t="s">
        <v>30</v>
      </c>
      <c r="BE3" s="5" t="s">
        <v>30</v>
      </c>
      <c r="BF3" s="5" t="s">
        <v>30</v>
      </c>
      <c r="BG3" s="5" t="s">
        <v>30</v>
      </c>
      <c r="BH3" s="5" t="s">
        <v>30</v>
      </c>
      <c r="BI3" s="5" t="s">
        <v>30</v>
      </c>
      <c r="BJ3" s="5" t="s">
        <v>30</v>
      </c>
      <c r="BL3" s="5" t="s">
        <v>30</v>
      </c>
      <c r="BM3" s="5" t="s">
        <v>30</v>
      </c>
      <c r="BN3" s="5" t="s">
        <v>30</v>
      </c>
      <c r="BO3" s="5" t="s">
        <v>30</v>
      </c>
      <c r="BP3" s="5" t="s">
        <v>30</v>
      </c>
      <c r="BQ3" s="5" t="s">
        <v>30</v>
      </c>
      <c r="BS3" s="5" t="s">
        <v>30</v>
      </c>
      <c r="BT3" s="5" t="s">
        <v>30</v>
      </c>
      <c r="BU3" s="5" t="s">
        <v>30</v>
      </c>
      <c r="BV3" s="5" t="s">
        <v>30</v>
      </c>
      <c r="BW3" s="5" t="s">
        <v>30</v>
      </c>
      <c r="BX3" s="5" t="s">
        <v>30</v>
      </c>
      <c r="BZ3" s="5" t="s">
        <v>30</v>
      </c>
      <c r="CA3" s="5" t="s">
        <v>30</v>
      </c>
      <c r="CB3" s="5" t="s">
        <v>30</v>
      </c>
      <c r="CC3" s="5" t="s">
        <v>30</v>
      </c>
      <c r="CD3" s="5" t="s">
        <v>30</v>
      </c>
      <c r="CE3" s="5" t="s">
        <v>30</v>
      </c>
      <c r="CG3" s="5" t="s">
        <v>30</v>
      </c>
      <c r="CH3" s="5" t="s">
        <v>30</v>
      </c>
      <c r="CI3" s="5" t="s">
        <v>30</v>
      </c>
      <c r="CJ3" s="5" t="s">
        <v>30</v>
      </c>
      <c r="CK3" s="5" t="s">
        <v>30</v>
      </c>
      <c r="CL3" s="5" t="s">
        <v>30</v>
      </c>
      <c r="CN3" s="5" t="s">
        <v>30</v>
      </c>
      <c r="CO3" s="5" t="s">
        <v>30</v>
      </c>
      <c r="CP3" s="5" t="s">
        <v>30</v>
      </c>
      <c r="CQ3" s="5" t="s">
        <v>30</v>
      </c>
      <c r="CR3" s="5" t="s">
        <v>30</v>
      </c>
      <c r="CS3" s="5" t="s">
        <v>30</v>
      </c>
      <c r="CU3" s="5" t="s">
        <v>30</v>
      </c>
      <c r="CV3" s="5" t="s">
        <v>30</v>
      </c>
      <c r="CW3" s="5" t="s">
        <v>30</v>
      </c>
      <c r="CX3" s="5" t="s">
        <v>30</v>
      </c>
      <c r="CY3" s="5" t="s">
        <v>30</v>
      </c>
      <c r="CZ3" s="5" t="s">
        <v>30</v>
      </c>
      <c r="DB3" s="5" t="s">
        <v>30</v>
      </c>
      <c r="DC3" s="5" t="s">
        <v>30</v>
      </c>
      <c r="DD3" s="5" t="s">
        <v>30</v>
      </c>
      <c r="DE3" s="5" t="s">
        <v>30</v>
      </c>
      <c r="DF3" s="5" t="s">
        <v>30</v>
      </c>
      <c r="DG3" s="5" t="s">
        <v>30</v>
      </c>
    </row>
    <row r="4" spans="1:111" x14ac:dyDescent="0.25">
      <c r="A4" s="12" t="s">
        <v>3</v>
      </c>
      <c r="B4" t="s">
        <v>17</v>
      </c>
      <c r="C4" t="s">
        <v>23</v>
      </c>
      <c r="D4" t="s">
        <v>11</v>
      </c>
      <c r="H4" s="5" t="s">
        <v>30</v>
      </c>
      <c r="I4" s="1" t="str">
        <f>IF(I14="x","x",HLOOKUP(I14,I23:L47,25,FALSE))</f>
        <v>x</v>
      </c>
      <c r="J4" s="1" t="str">
        <f>IF(J14="x","x",HLOOKUP(J14,I29:L47,19,FALSE))</f>
        <v>x</v>
      </c>
      <c r="K4" s="1" t="str">
        <f>IF(K14="x","x",HLOOKUP(K14,I35:L47,13,FALSE))</f>
        <v>x</v>
      </c>
      <c r="L4" s="2">
        <v>1</v>
      </c>
      <c r="M4" s="5" t="s">
        <v>30</v>
      </c>
      <c r="O4" s="5" t="s">
        <v>30</v>
      </c>
      <c r="P4" s="1" t="str">
        <f>IF(P14="x","x",HLOOKUP(P14,P23:S47,25,FALSE))</f>
        <v>x</v>
      </c>
      <c r="Q4" s="1" t="str">
        <f>IF(Q14="x","x",HLOOKUP(Q14,P29:S47,19,FALSE))</f>
        <v>x</v>
      </c>
      <c r="R4" s="1" t="str">
        <f>IF(R14="x","x",HLOOKUP(R14,P35:S47,13,FALSE))</f>
        <v>x</v>
      </c>
      <c r="S4" s="2">
        <v>1</v>
      </c>
      <c r="T4" s="5" t="s">
        <v>30</v>
      </c>
      <c r="V4" s="5" t="s">
        <v>30</v>
      </c>
      <c r="W4" s="1" t="str">
        <f>IF(W14="x","x",HLOOKUP(W14,W23:Z47,25,FALSE))</f>
        <v>x</v>
      </c>
      <c r="X4" s="1" t="str">
        <f>IF(X14="x","x",HLOOKUP(X14,W29:Z47,19,FALSE))</f>
        <v>x</v>
      </c>
      <c r="Y4" s="1" t="str">
        <f>IF(Y14="x","x",HLOOKUP(Y14,W35:Z47,13,FALSE))</f>
        <v>x</v>
      </c>
      <c r="Z4" s="2">
        <v>1</v>
      </c>
      <c r="AA4" s="5" t="s">
        <v>30</v>
      </c>
      <c r="AC4" s="5" t="s">
        <v>30</v>
      </c>
      <c r="AD4" s="1" t="str">
        <f>IF(AD14="x","x",HLOOKUP(AD14,AD23:AG47,25,FALSE))</f>
        <v>x</v>
      </c>
      <c r="AE4" s="1" t="str">
        <f>IF(AE14="x","x",HLOOKUP(AE14,AD29:AG47,19,FALSE))</f>
        <v>x</v>
      </c>
      <c r="AF4" s="1" t="str">
        <f>IF(AF14="x","x",HLOOKUP(AF14,AD35:AG47,13,FALSE))</f>
        <v>x</v>
      </c>
      <c r="AG4" s="2">
        <v>1</v>
      </c>
      <c r="AH4" s="5" t="s">
        <v>30</v>
      </c>
      <c r="AJ4" s="5" t="s">
        <v>30</v>
      </c>
      <c r="AK4" s="1" t="str">
        <f>IF(AK14="x","x",HLOOKUP(AK14,AK23:AN47,25,FALSE))</f>
        <v>x</v>
      </c>
      <c r="AL4" s="1" t="str">
        <f>IF(AL14="x","x",HLOOKUP(AL14,AK29:AN47,19,FALSE))</f>
        <v>x</v>
      </c>
      <c r="AM4" s="1" t="str">
        <f>IF(AM14="x","x",HLOOKUP(AM14,AK35:AN47,13,FALSE))</f>
        <v>x</v>
      </c>
      <c r="AN4" s="2">
        <v>1</v>
      </c>
      <c r="AO4" s="5" t="s">
        <v>30</v>
      </c>
      <c r="AQ4" s="5" t="s">
        <v>30</v>
      </c>
      <c r="AR4" s="1" t="str">
        <f>IF(AR14="x","x",HLOOKUP(AR14,AR23:AU47,25,FALSE))</f>
        <v>x</v>
      </c>
      <c r="AS4" s="1" t="str">
        <f>IF(AS14="x","x",HLOOKUP(AS14,AR29:AU47,19,FALSE))</f>
        <v>x</v>
      </c>
      <c r="AT4" s="1" t="str">
        <f>IF(AT14="x","x",HLOOKUP(AT14,AR35:AU47,13,FALSE))</f>
        <v>x</v>
      </c>
      <c r="AU4" s="2">
        <v>1</v>
      </c>
      <c r="AV4" s="5" t="s">
        <v>30</v>
      </c>
      <c r="AX4" s="5" t="s">
        <v>30</v>
      </c>
      <c r="AY4" s="1" t="str">
        <f>IF(AY14="x","x",HLOOKUP(AY14,AY23:BB47,25,FALSE))</f>
        <v>x</v>
      </c>
      <c r="AZ4" s="1" t="str">
        <f>IF(AZ14="x","x",HLOOKUP(AZ14,AY29:BB47,19,FALSE))</f>
        <v>x</v>
      </c>
      <c r="BA4" s="1" t="str">
        <f>IF(BA14="x","x",HLOOKUP(BA14,AY35:BB47,13,FALSE))</f>
        <v>x</v>
      </c>
      <c r="BB4" s="2">
        <v>1</v>
      </c>
      <c r="BC4" s="5" t="s">
        <v>30</v>
      </c>
      <c r="BE4" s="5" t="s">
        <v>30</v>
      </c>
      <c r="BF4" s="1" t="str">
        <f>IF(BF14="x","x",HLOOKUP(BF14,BF23:BI47,25,FALSE))</f>
        <v>x</v>
      </c>
      <c r="BG4" s="1" t="str">
        <f>IF(BG14="x","x",HLOOKUP(BG14,BF29:BI47,19,FALSE))</f>
        <v>x</v>
      </c>
      <c r="BH4" s="1" t="str">
        <f>IF(BH14="x","x",HLOOKUP(BH14,BF35:BI47,13,FALSE))</f>
        <v>x</v>
      </c>
      <c r="BI4" s="2">
        <v>1</v>
      </c>
      <c r="BJ4" s="5" t="s">
        <v>30</v>
      </c>
      <c r="BL4" s="5" t="s">
        <v>30</v>
      </c>
      <c r="BM4" s="1" t="str">
        <f>IF(BM14="x","x",HLOOKUP(BM14,BM23:BP47,25,FALSE))</f>
        <v>x</v>
      </c>
      <c r="BN4" s="1" t="str">
        <f>IF(BN14="x","x",HLOOKUP(BN14,BM29:BP47,19,FALSE))</f>
        <v>x</v>
      </c>
      <c r="BO4" s="1" t="str">
        <f>IF(BO14="x","x",HLOOKUP(BO14,BM35:BP47,13,FALSE))</f>
        <v>x</v>
      </c>
      <c r="BP4" s="2">
        <v>1</v>
      </c>
      <c r="BQ4" s="5" t="s">
        <v>30</v>
      </c>
      <c r="BS4" s="5" t="s">
        <v>30</v>
      </c>
      <c r="BT4" s="1" t="str">
        <f>IF(BT14="x","x",HLOOKUP(BT14,BT23:BW47,25,FALSE))</f>
        <v>x</v>
      </c>
      <c r="BU4" s="1" t="str">
        <f>IF(BU14="x","x",HLOOKUP(BU14,BT29:BW47,19,FALSE))</f>
        <v>x</v>
      </c>
      <c r="BV4" s="1" t="str">
        <f>IF(BV14="x","x",HLOOKUP(BV14,BT35:BW47,13,FALSE))</f>
        <v>x</v>
      </c>
      <c r="BW4" s="2">
        <v>1</v>
      </c>
      <c r="BX4" s="5" t="s">
        <v>30</v>
      </c>
      <c r="BZ4" s="5" t="s">
        <v>30</v>
      </c>
      <c r="CA4" s="1" t="str">
        <f>IF(CA14="x","x",HLOOKUP(CA14,CA23:CD47,25,FALSE))</f>
        <v>x</v>
      </c>
      <c r="CB4" s="1" t="str">
        <f>IF(CB14="x","x",HLOOKUP(CB14,CA29:CD47,19,FALSE))</f>
        <v>x</v>
      </c>
      <c r="CC4" s="1" t="str">
        <f>IF(CC14="x","x",HLOOKUP(CC14,CA35:CD47,13,FALSE))</f>
        <v>x</v>
      </c>
      <c r="CD4" s="2">
        <v>1</v>
      </c>
      <c r="CE4" s="5" t="s">
        <v>30</v>
      </c>
      <c r="CG4" s="5" t="s">
        <v>30</v>
      </c>
      <c r="CH4" s="1" t="str">
        <f>IF(CH14="x","x",HLOOKUP(CH14,CH23:CK47,25,FALSE))</f>
        <v>x</v>
      </c>
      <c r="CI4" s="1" t="str">
        <f>IF(CI14="x","x",HLOOKUP(CI14,CH29:CK47,19,FALSE))</f>
        <v>x</v>
      </c>
      <c r="CJ4" s="1" t="str">
        <f>IF(CJ14="x","x",HLOOKUP(CJ14,CH35:CK47,13,FALSE))</f>
        <v>x</v>
      </c>
      <c r="CK4" s="2">
        <v>1</v>
      </c>
      <c r="CL4" s="5" t="s">
        <v>30</v>
      </c>
      <c r="CN4" s="5" t="s">
        <v>30</v>
      </c>
      <c r="CO4" s="1" t="str">
        <f>IF(CO14="x","x",HLOOKUP(CO14,CO23:CR47,25,FALSE))</f>
        <v>x</v>
      </c>
      <c r="CP4" s="1" t="str">
        <f>IF(CP14="x","x",HLOOKUP(CP14,CO29:CR47,19,FALSE))</f>
        <v>x</v>
      </c>
      <c r="CQ4" s="1" t="str">
        <f>IF(CQ14="x","x",HLOOKUP(CQ14,CO35:CR47,13,FALSE))</f>
        <v>x</v>
      </c>
      <c r="CR4" s="2">
        <v>1</v>
      </c>
      <c r="CS4" s="5" t="s">
        <v>30</v>
      </c>
      <c r="CU4" s="5" t="s">
        <v>30</v>
      </c>
      <c r="CV4" s="1" t="str">
        <f>IF(CV14="x","x",HLOOKUP(CV14,CV23:CY47,25,FALSE))</f>
        <v>x</v>
      </c>
      <c r="CW4" s="1" t="str">
        <f>IF(CW14="x","x",HLOOKUP(CW14,CV29:CY47,19,FALSE))</f>
        <v>x</v>
      </c>
      <c r="CX4" s="1" t="str">
        <f>IF(CX14="x","x",HLOOKUP(CX14,CV35:CY47,13,FALSE))</f>
        <v>x</v>
      </c>
      <c r="CY4" s="2">
        <v>1</v>
      </c>
      <c r="CZ4" s="5" t="s">
        <v>30</v>
      </c>
      <c r="DB4" s="5" t="s">
        <v>30</v>
      </c>
      <c r="DC4" s="1" t="str">
        <f>IF(DC14="x","x",HLOOKUP(DC14,DC23:DF47,25,FALSE))</f>
        <v>x</v>
      </c>
      <c r="DD4" s="1" t="str">
        <f>IF(DD14="x","x",HLOOKUP(DD14,DC29:DF47,19,FALSE))</f>
        <v>x</v>
      </c>
      <c r="DE4" s="1" t="str">
        <f>IF(DE14="x","x",HLOOKUP(DE14,DC35:DF47,13,FALSE))</f>
        <v>x</v>
      </c>
      <c r="DF4" s="2">
        <v>1</v>
      </c>
      <c r="DG4" s="5" t="s">
        <v>30</v>
      </c>
    </row>
    <row r="5" spans="1:111" x14ac:dyDescent="0.25">
      <c r="A5" s="12" t="s">
        <v>4</v>
      </c>
      <c r="B5" t="s">
        <v>29</v>
      </c>
      <c r="C5" t="s">
        <v>24</v>
      </c>
      <c r="D5" t="s">
        <v>29</v>
      </c>
      <c r="H5" s="5" t="s">
        <v>30</v>
      </c>
      <c r="I5" s="1" t="str">
        <f>IF(I15="x","x",HLOOKUP(I15,I24:L47,24,FALSE))</f>
        <v>^</v>
      </c>
      <c r="J5" s="8" t="str">
        <f>IF(J15="x","x",HLOOKUP(J15,I30:L47,18,FALSE))</f>
        <v>^</v>
      </c>
      <c r="K5" s="8" t="str">
        <f>IF(K15="x","x",HLOOKUP(K15,I36:L47,12,FALSE))</f>
        <v>^</v>
      </c>
      <c r="L5" s="8" t="str">
        <f>IF(L15="x","x",HLOOKUP(L15,I42:L47,6,FALSE))</f>
        <v>^</v>
      </c>
      <c r="M5" s="6" t="s">
        <v>30</v>
      </c>
      <c r="O5" s="5" t="s">
        <v>30</v>
      </c>
      <c r="P5" s="1" t="str">
        <f>IF(P15="x","x",HLOOKUP(P15,P24:S47,24,FALSE))</f>
        <v>^</v>
      </c>
      <c r="Q5" s="8" t="str">
        <f>IF(Q15="x","x",HLOOKUP(Q15,P30:S47,18,FALSE))</f>
        <v>^</v>
      </c>
      <c r="R5" s="8" t="str">
        <f>IF(R15="x","x",HLOOKUP(R15,P36:S47,12,FALSE))</f>
        <v>&gt;</v>
      </c>
      <c r="S5" s="8" t="str">
        <f>IF(S15="x","x",HLOOKUP(S15,P42:S47,6,FALSE))</f>
        <v>^</v>
      </c>
      <c r="T5" s="6" t="s">
        <v>30</v>
      </c>
      <c r="V5" s="5" t="s">
        <v>30</v>
      </c>
      <c r="W5" s="1" t="str">
        <f>IF(W15="x","x",HLOOKUP(W15,W24:Z47,24,FALSE))</f>
        <v>^</v>
      </c>
      <c r="X5" s="8" t="str">
        <f>IF(X15="x","x",HLOOKUP(X15,W30:Z47,18,FALSE))</f>
        <v>&gt;</v>
      </c>
      <c r="Y5" s="8" t="str">
        <f>IF(Y15="x","x",HLOOKUP(Y15,W36:Z47,12,FALSE))</f>
        <v>&gt;</v>
      </c>
      <c r="Z5" s="8" t="str">
        <f>IF(Z15="x","x",HLOOKUP(Z15,W42:Z47,6,FALSE))</f>
        <v>^</v>
      </c>
      <c r="AA5" s="6" t="s">
        <v>30</v>
      </c>
      <c r="AC5" s="5" t="s">
        <v>30</v>
      </c>
      <c r="AD5" s="1" t="str">
        <f>IF(AD15="x","x",HLOOKUP(AD15,AD24:AG47,24,FALSE))</f>
        <v>&gt;</v>
      </c>
      <c r="AE5" s="8" t="str">
        <f>IF(AE15="x","x",HLOOKUP(AE15,AD30:AG47,18,FALSE))</f>
        <v>&gt;</v>
      </c>
      <c r="AF5" s="8" t="str">
        <f>IF(AF15="x","x",HLOOKUP(AF15,AD36:AG47,12,FALSE))</f>
        <v>&gt;</v>
      </c>
      <c r="AG5" s="8" t="str">
        <f>IF(AG15="x","x",HLOOKUP(AG15,AD42:AG47,6,FALSE))</f>
        <v>^</v>
      </c>
      <c r="AH5" s="6" t="s">
        <v>30</v>
      </c>
      <c r="AJ5" s="5" t="s">
        <v>30</v>
      </c>
      <c r="AK5" s="1" t="str">
        <f>IF(AK15="x","x",HLOOKUP(AK15,AK24:AN47,24,FALSE))</f>
        <v>&gt;</v>
      </c>
      <c r="AL5" s="8" t="str">
        <f>IF(AL15="x","x",HLOOKUP(AL15,AK30:AN47,18,FALSE))</f>
        <v>&gt;</v>
      </c>
      <c r="AM5" s="8" t="str">
        <f>IF(AM15="x","x",HLOOKUP(AM15,AK36:AN47,12,FALSE))</f>
        <v>&gt;</v>
      </c>
      <c r="AN5" s="8" t="str">
        <f>IF(AN15="x","x",HLOOKUP(AN15,AK42:AN47,6,FALSE))</f>
        <v>^</v>
      </c>
      <c r="AO5" s="6" t="s">
        <v>30</v>
      </c>
      <c r="AQ5" s="5" t="s">
        <v>30</v>
      </c>
      <c r="AR5" s="1" t="str">
        <f>IF(AR15="x","x",HLOOKUP(AR15,AR24:AU47,24,FALSE))</f>
        <v>&gt;</v>
      </c>
      <c r="AS5" s="8" t="str">
        <f>IF(AS15="x","x",HLOOKUP(AS15,AR30:AU47,18,FALSE))</f>
        <v>&gt;</v>
      </c>
      <c r="AT5" s="8" t="str">
        <f>IF(AT15="x","x",HLOOKUP(AT15,AR36:AU47,12,FALSE))</f>
        <v>&gt;</v>
      </c>
      <c r="AU5" s="8" t="str">
        <f>IF(AU15="x","x",HLOOKUP(AU15,AR42:AU47,6,FALSE))</f>
        <v>^</v>
      </c>
      <c r="AV5" s="6" t="s">
        <v>30</v>
      </c>
      <c r="AX5" s="5" t="s">
        <v>30</v>
      </c>
      <c r="AY5" s="1" t="str">
        <f>IF(AY15="x","x",HLOOKUP(AY15,AY24:BB47,24,FALSE))</f>
        <v>&gt;</v>
      </c>
      <c r="AZ5" s="8" t="str">
        <f>IF(AZ15="x","x",HLOOKUP(AZ15,AY30:BB47,18,FALSE))</f>
        <v>&gt;</v>
      </c>
      <c r="BA5" s="8" t="str">
        <f>IF(BA15="x","x",HLOOKUP(BA15,AY36:BB47,12,FALSE))</f>
        <v>&gt;</v>
      </c>
      <c r="BB5" s="8" t="str">
        <f>IF(BB15="x","x",HLOOKUP(BB15,AY42:BB47,6,FALSE))</f>
        <v>^</v>
      </c>
      <c r="BC5" s="6" t="s">
        <v>30</v>
      </c>
      <c r="BE5" s="5" t="s">
        <v>30</v>
      </c>
      <c r="BF5" s="1" t="str">
        <f>IF(BF15="x","x",HLOOKUP(BF15,BF24:BI47,24,FALSE))</f>
        <v>&gt;</v>
      </c>
      <c r="BG5" s="8" t="str">
        <f>IF(BG15="x","x",HLOOKUP(BG15,BF30:BI47,18,FALSE))</f>
        <v>&gt;</v>
      </c>
      <c r="BH5" s="8" t="str">
        <f>IF(BH15="x","x",HLOOKUP(BH15,BF36:BI47,12,FALSE))</f>
        <v>&gt;</v>
      </c>
      <c r="BI5" s="8" t="str">
        <f>IF(BI15="x","x",HLOOKUP(BI15,BF42:BI47,6,FALSE))</f>
        <v>^</v>
      </c>
      <c r="BJ5" s="6" t="s">
        <v>30</v>
      </c>
      <c r="BL5" s="5" t="s">
        <v>30</v>
      </c>
      <c r="BM5" s="1" t="str">
        <f>IF(BM15="x","x",HLOOKUP(BM15,BM24:BP47,24,FALSE))</f>
        <v>&gt;</v>
      </c>
      <c r="BN5" s="8" t="str">
        <f>IF(BN15="x","x",HLOOKUP(BN15,BM30:BP47,18,FALSE))</f>
        <v>&gt;</v>
      </c>
      <c r="BO5" s="8" t="str">
        <f>IF(BO15="x","x",HLOOKUP(BO15,BM36:BP47,12,FALSE))</f>
        <v>&gt;</v>
      </c>
      <c r="BP5" s="8" t="str">
        <f>IF(BP15="x","x",HLOOKUP(BP15,BM42:BP47,6,FALSE))</f>
        <v>^</v>
      </c>
      <c r="BQ5" s="6" t="s">
        <v>30</v>
      </c>
      <c r="BS5" s="5" t="s">
        <v>30</v>
      </c>
      <c r="BT5" s="1" t="str">
        <f>IF(BT15="x","x",HLOOKUP(BT15,BT24:BW47,24,FALSE))</f>
        <v>&gt;</v>
      </c>
      <c r="BU5" s="8" t="str">
        <f>IF(BU15="x","x",HLOOKUP(BU15,BT30:BW47,18,FALSE))</f>
        <v>&gt;</v>
      </c>
      <c r="BV5" s="8" t="str">
        <f>IF(BV15="x","x",HLOOKUP(BV15,BT36:BW47,12,FALSE))</f>
        <v>&gt;</v>
      </c>
      <c r="BW5" s="8" t="str">
        <f>IF(BW15="x","x",HLOOKUP(BW15,BT42:BW47,6,FALSE))</f>
        <v>^</v>
      </c>
      <c r="BX5" s="6" t="s">
        <v>30</v>
      </c>
      <c r="BZ5" s="5" t="s">
        <v>30</v>
      </c>
      <c r="CA5" s="1" t="str">
        <f>IF(CA15="x","x",HLOOKUP(CA15,CA24:CD47,24,FALSE))</f>
        <v>&gt;</v>
      </c>
      <c r="CB5" s="8" t="str">
        <f>IF(CB15="x","x",HLOOKUP(CB15,CA30:CD47,18,FALSE))</f>
        <v>&gt;</v>
      </c>
      <c r="CC5" s="8" t="str">
        <f>IF(CC15="x","x",HLOOKUP(CC15,CA36:CD47,12,FALSE))</f>
        <v>&gt;</v>
      </c>
      <c r="CD5" s="8" t="str">
        <f>IF(CD15="x","x",HLOOKUP(CD15,CA42:CD47,6,FALSE))</f>
        <v>^</v>
      </c>
      <c r="CE5" s="6" t="s">
        <v>30</v>
      </c>
      <c r="CG5" s="5" t="s">
        <v>30</v>
      </c>
      <c r="CH5" s="1" t="str">
        <f>IF(CH15="x","x",HLOOKUP(CH15,CH24:CK47,24,FALSE))</f>
        <v>&gt;</v>
      </c>
      <c r="CI5" s="8" t="str">
        <f>IF(CI15="x","x",HLOOKUP(CI15,CH30:CK47,18,FALSE))</f>
        <v>&gt;</v>
      </c>
      <c r="CJ5" s="8" t="str">
        <f>IF(CJ15="x","x",HLOOKUP(CJ15,CH36:CK47,12,FALSE))</f>
        <v>&gt;</v>
      </c>
      <c r="CK5" s="8" t="str">
        <f>IF(CK15="x","x",HLOOKUP(CK15,CH42:CK47,6,FALSE))</f>
        <v>^</v>
      </c>
      <c r="CL5" s="6" t="s">
        <v>30</v>
      </c>
      <c r="CN5" s="5" t="s">
        <v>30</v>
      </c>
      <c r="CO5" s="1" t="str">
        <f>IF(CO15="x","x",HLOOKUP(CO15,CO24:CR47,24,FALSE))</f>
        <v>&gt;</v>
      </c>
      <c r="CP5" s="8" t="str">
        <f>IF(CP15="x","x",HLOOKUP(CP15,CO30:CR47,18,FALSE))</f>
        <v>&gt;</v>
      </c>
      <c r="CQ5" s="8" t="str">
        <f>IF(CQ15="x","x",HLOOKUP(CQ15,CO36:CR47,12,FALSE))</f>
        <v>&gt;</v>
      </c>
      <c r="CR5" s="8" t="str">
        <f>IF(CR15="x","x",HLOOKUP(CR15,CO42:CR47,6,FALSE))</f>
        <v>^</v>
      </c>
      <c r="CS5" s="6" t="s">
        <v>30</v>
      </c>
      <c r="CU5" s="5" t="s">
        <v>30</v>
      </c>
      <c r="CV5" s="1" t="str">
        <f>IF(CV15="x","x",HLOOKUP(CV15,CV24:CY47,24,FALSE))</f>
        <v>&gt;</v>
      </c>
      <c r="CW5" s="8" t="str">
        <f>IF(CW15="x","x",HLOOKUP(CW15,CV30:CY47,18,FALSE))</f>
        <v>&gt;</v>
      </c>
      <c r="CX5" s="8" t="str">
        <f>IF(CX15="x","x",HLOOKUP(CX15,CV36:CY47,12,FALSE))</f>
        <v>&gt;</v>
      </c>
      <c r="CY5" s="8" t="str">
        <f>IF(CY15="x","x",HLOOKUP(CY15,CV42:CY47,6,FALSE))</f>
        <v>^</v>
      </c>
      <c r="CZ5" s="6" t="s">
        <v>30</v>
      </c>
      <c r="DB5" s="5" t="s">
        <v>30</v>
      </c>
      <c r="DC5" s="1" t="str">
        <f>IF(DC15="x","x",HLOOKUP(DC15,DC24:DF47,24,FALSE))</f>
        <v>&gt;</v>
      </c>
      <c r="DD5" s="8" t="str">
        <f>IF(DD15="x","x",HLOOKUP(DD15,DC30:DF47,18,FALSE))</f>
        <v>&gt;</v>
      </c>
      <c r="DE5" s="8" t="str">
        <f>IF(DE15="x","x",HLOOKUP(DE15,DC36:DF47,12,FALSE))</f>
        <v>&gt;</v>
      </c>
      <c r="DF5" s="8" t="str">
        <f>IF(DF15="x","x",HLOOKUP(DF15,DC42:DF47,6,FALSE))</f>
        <v>^</v>
      </c>
      <c r="DG5" s="6" t="s">
        <v>30</v>
      </c>
    </row>
    <row r="6" spans="1:111" x14ac:dyDescent="0.25">
      <c r="A6" s="12" t="s">
        <v>5</v>
      </c>
      <c r="B6" t="s">
        <v>19</v>
      </c>
      <c r="C6" t="s">
        <v>25</v>
      </c>
      <c r="D6" t="s">
        <v>30</v>
      </c>
      <c r="H6" s="5" t="s">
        <v>30</v>
      </c>
      <c r="I6" s="1" t="str">
        <f>IF(I16="x","x",HLOOKUP(I16,I25:L47,23,FALSE))</f>
        <v>^</v>
      </c>
      <c r="J6" s="8" t="str">
        <f>IF(J16="x","x",HLOOKUP(J16,I31:L47,17,FALSE))</f>
        <v>x</v>
      </c>
      <c r="K6" s="1" t="str">
        <f>IF(K16="x","x",HLOOKUP(K16,I37:L47,11,FALSE))</f>
        <v>x</v>
      </c>
      <c r="L6" s="11" t="str">
        <f>IF(L16="x","x",HLOOKUP(L16,I43:L47,5,FALSE))</f>
        <v>x</v>
      </c>
      <c r="M6" s="5" t="s">
        <v>30</v>
      </c>
      <c r="O6" s="5" t="s">
        <v>30</v>
      </c>
      <c r="P6" s="1" t="str">
        <f>IF(P16="x","x",HLOOKUP(P16,P25:S47,23,FALSE))</f>
        <v>^</v>
      </c>
      <c r="Q6" s="8" t="str">
        <f>IF(Q16="x","x",HLOOKUP(Q16,P31:S47,17,FALSE))</f>
        <v>x</v>
      </c>
      <c r="R6" s="1" t="str">
        <f>IF(R16="x","x",HLOOKUP(R16,P37:S47,11,FALSE))</f>
        <v>x</v>
      </c>
      <c r="S6" s="11" t="str">
        <f>IF(S16="x","x",HLOOKUP(S16,P43:S47,5,FALSE))</f>
        <v>x</v>
      </c>
      <c r="T6" s="5" t="s">
        <v>30</v>
      </c>
      <c r="V6" s="5" t="s">
        <v>30</v>
      </c>
      <c r="W6" s="1" t="str">
        <f>IF(W16="x","x",HLOOKUP(W16,W25:Z47,23,FALSE))</f>
        <v>^</v>
      </c>
      <c r="X6" s="8" t="str">
        <f>IF(X16="x","x",HLOOKUP(X16,W31:Z47,17,FALSE))</f>
        <v>x</v>
      </c>
      <c r="Y6" s="1" t="str">
        <f>IF(Y16="x","x",HLOOKUP(Y16,W37:Z47,11,FALSE))</f>
        <v>x</v>
      </c>
      <c r="Z6" s="11" t="str">
        <f>IF(Z16="x","x",HLOOKUP(Z16,W43:Z47,5,FALSE))</f>
        <v>x</v>
      </c>
      <c r="AA6" s="5" t="s">
        <v>30</v>
      </c>
      <c r="AC6" s="5" t="s">
        <v>30</v>
      </c>
      <c r="AD6" s="1" t="str">
        <f>IF(AD16="x","x",HLOOKUP(AD16,AD25:AG47,23,FALSE))</f>
        <v>^</v>
      </c>
      <c r="AE6" s="8" t="str">
        <f>IF(AE16="x","x",HLOOKUP(AE16,AD31:AG47,17,FALSE))</f>
        <v>x</v>
      </c>
      <c r="AF6" s="1" t="str">
        <f>IF(AF16="x","x",HLOOKUP(AF16,AD37:AG47,11,FALSE))</f>
        <v>x</v>
      </c>
      <c r="AG6" s="11" t="str">
        <f>IF(AG16="x","x",HLOOKUP(AG16,AD43:AG47,5,FALSE))</f>
        <v>x</v>
      </c>
      <c r="AH6" s="5" t="s">
        <v>30</v>
      </c>
      <c r="AJ6" s="5" t="s">
        <v>30</v>
      </c>
      <c r="AK6" s="1" t="str">
        <f>IF(AK16="x","x",HLOOKUP(AK16,AK25:AN47,23,FALSE))</f>
        <v>^</v>
      </c>
      <c r="AL6" s="8" t="str">
        <f>IF(AL16="x","x",HLOOKUP(AL16,AK31:AN47,17,FALSE))</f>
        <v>x</v>
      </c>
      <c r="AM6" s="1" t="str">
        <f>IF(AM16="x","x",HLOOKUP(AM16,AK37:AN47,11,FALSE))</f>
        <v>x</v>
      </c>
      <c r="AN6" s="11" t="str">
        <f>IF(AN16="x","x",HLOOKUP(AN16,AK43:AN47,5,FALSE))</f>
        <v>x</v>
      </c>
      <c r="AO6" s="5" t="s">
        <v>30</v>
      </c>
      <c r="AQ6" s="5" t="s">
        <v>30</v>
      </c>
      <c r="AR6" s="1" t="str">
        <f>IF(AR16="x","x",HLOOKUP(AR16,AR25:AU47,23,FALSE))</f>
        <v>^</v>
      </c>
      <c r="AS6" s="8" t="str">
        <f>IF(AS16="x","x",HLOOKUP(AS16,AR31:AU47,17,FALSE))</f>
        <v>x</v>
      </c>
      <c r="AT6" s="1" t="str">
        <f>IF(AT16="x","x",HLOOKUP(AT16,AR37:AU47,11,FALSE))</f>
        <v>x</v>
      </c>
      <c r="AU6" s="11" t="str">
        <f>IF(AU16="x","x",HLOOKUP(AU16,AR43:AU47,5,FALSE))</f>
        <v>x</v>
      </c>
      <c r="AV6" s="5" t="s">
        <v>30</v>
      </c>
      <c r="AX6" s="5" t="s">
        <v>30</v>
      </c>
      <c r="AY6" s="1" t="str">
        <f>IF(AY16="x","x",HLOOKUP(AY16,AY25:BB47,23,FALSE))</f>
        <v>^</v>
      </c>
      <c r="AZ6" s="8" t="str">
        <f>IF(AZ16="x","x",HLOOKUP(AZ16,AY31:BB47,17,FALSE))</f>
        <v>x</v>
      </c>
      <c r="BA6" s="1" t="str">
        <f>IF(BA16="x","x",HLOOKUP(BA16,AY37:BB47,11,FALSE))</f>
        <v>x</v>
      </c>
      <c r="BB6" s="11" t="str">
        <f>IF(BB16="x","x",HLOOKUP(BB16,AY43:BB47,5,FALSE))</f>
        <v>x</v>
      </c>
      <c r="BC6" s="5" t="s">
        <v>30</v>
      </c>
      <c r="BE6" s="5" t="s">
        <v>30</v>
      </c>
      <c r="BF6" s="1" t="str">
        <f>IF(BF16="x","x",HLOOKUP(BF16,BF25:BI47,23,FALSE))</f>
        <v>^</v>
      </c>
      <c r="BG6" s="8" t="str">
        <f>IF(BG16="x","x",HLOOKUP(BG16,BF31:BI47,17,FALSE))</f>
        <v>x</v>
      </c>
      <c r="BH6" s="1" t="str">
        <f>IF(BH16="x","x",HLOOKUP(BH16,BF37:BI47,11,FALSE))</f>
        <v>x</v>
      </c>
      <c r="BI6" s="11" t="str">
        <f>IF(BI16="x","x",HLOOKUP(BI16,BF43:BI47,5,FALSE))</f>
        <v>x</v>
      </c>
      <c r="BJ6" s="5" t="s">
        <v>30</v>
      </c>
      <c r="BL6" s="5" t="s">
        <v>30</v>
      </c>
      <c r="BM6" s="1" t="str">
        <f>IF(BM16="x","x",HLOOKUP(BM16,BM25:BP47,23,FALSE))</f>
        <v>^</v>
      </c>
      <c r="BN6" s="8" t="str">
        <f>IF(BN16="x","x",HLOOKUP(BN16,BM31:BP47,17,FALSE))</f>
        <v>x</v>
      </c>
      <c r="BO6" s="1" t="str">
        <f>IF(BO16="x","x",HLOOKUP(BO16,BM37:BP47,11,FALSE))</f>
        <v>x</v>
      </c>
      <c r="BP6" s="11" t="str">
        <f>IF(BP16="x","x",HLOOKUP(BP16,BM43:BP47,5,FALSE))</f>
        <v>x</v>
      </c>
      <c r="BQ6" s="5" t="s">
        <v>30</v>
      </c>
      <c r="BS6" s="5" t="s">
        <v>30</v>
      </c>
      <c r="BT6" s="1" t="str">
        <f>IF(BT16="x","x",HLOOKUP(BT16,BT25:BW47,23,FALSE))</f>
        <v>^</v>
      </c>
      <c r="BU6" s="8" t="str">
        <f>IF(BU16="x","x",HLOOKUP(BU16,BT31:BW47,17,FALSE))</f>
        <v>x</v>
      </c>
      <c r="BV6" s="1" t="str">
        <f>IF(BV16="x","x",HLOOKUP(BV16,BT37:BW47,11,FALSE))</f>
        <v>x</v>
      </c>
      <c r="BW6" s="11" t="str">
        <f>IF(BW16="x","x",HLOOKUP(BW16,BT43:BW47,5,FALSE))</f>
        <v>x</v>
      </c>
      <c r="BX6" s="5" t="s">
        <v>30</v>
      </c>
      <c r="BZ6" s="5" t="s">
        <v>30</v>
      </c>
      <c r="CA6" s="1" t="str">
        <f>IF(CA16="x","x",HLOOKUP(CA16,CA25:CD47,23,FALSE))</f>
        <v>^</v>
      </c>
      <c r="CB6" s="8" t="str">
        <f>IF(CB16="x","x",HLOOKUP(CB16,CA31:CD47,17,FALSE))</f>
        <v>x</v>
      </c>
      <c r="CC6" s="1" t="str">
        <f>IF(CC16="x","x",HLOOKUP(CC16,CA37:CD47,11,FALSE))</f>
        <v>x</v>
      </c>
      <c r="CD6" s="11" t="str">
        <f>IF(CD16="x","x",HLOOKUP(CD16,CA43:CD47,5,FALSE))</f>
        <v>x</v>
      </c>
      <c r="CE6" s="5" t="s">
        <v>30</v>
      </c>
      <c r="CG6" s="5" t="s">
        <v>30</v>
      </c>
      <c r="CH6" s="1" t="str">
        <f>IF(CH16="x","x",HLOOKUP(CH16,CH25:CK47,23,FALSE))</f>
        <v>^</v>
      </c>
      <c r="CI6" s="8" t="str">
        <f>IF(CI16="x","x",HLOOKUP(CI16,CH31:CK47,17,FALSE))</f>
        <v>x</v>
      </c>
      <c r="CJ6" s="1" t="str">
        <f>IF(CJ16="x","x",HLOOKUP(CJ16,CH37:CK47,11,FALSE))</f>
        <v>x</v>
      </c>
      <c r="CK6" s="11" t="str">
        <f>IF(CK16="x","x",HLOOKUP(CK16,CH43:CK47,5,FALSE))</f>
        <v>x</v>
      </c>
      <c r="CL6" s="5" t="s">
        <v>30</v>
      </c>
      <c r="CN6" s="5" t="s">
        <v>30</v>
      </c>
      <c r="CO6" s="1" t="str">
        <f>IF(CO16="x","x",HLOOKUP(CO16,CO25:CR47,23,FALSE))</f>
        <v>^</v>
      </c>
      <c r="CP6" s="8" t="str">
        <f>IF(CP16="x","x",HLOOKUP(CP16,CO31:CR47,17,FALSE))</f>
        <v>x</v>
      </c>
      <c r="CQ6" s="1" t="str">
        <f>IF(CQ16="x","x",HLOOKUP(CQ16,CO37:CR47,11,FALSE))</f>
        <v>x</v>
      </c>
      <c r="CR6" s="11" t="str">
        <f>IF(CR16="x","x",HLOOKUP(CR16,CO43:CR47,5,FALSE))</f>
        <v>x</v>
      </c>
      <c r="CS6" s="5" t="s">
        <v>30</v>
      </c>
      <c r="CU6" s="5" t="s">
        <v>30</v>
      </c>
      <c r="CV6" s="1" t="str">
        <f>IF(CV16="x","x",HLOOKUP(CV16,CV25:CY47,23,FALSE))</f>
        <v>^</v>
      </c>
      <c r="CW6" s="8" t="str">
        <f>IF(CW16="x","x",HLOOKUP(CW16,CV31:CY47,17,FALSE))</f>
        <v>x</v>
      </c>
      <c r="CX6" s="1" t="str">
        <f>IF(CX16="x","x",HLOOKUP(CX16,CV37:CY47,11,FALSE))</f>
        <v>x</v>
      </c>
      <c r="CY6" s="11" t="str">
        <f>IF(CY16="x","x",HLOOKUP(CY16,CV43:CY47,5,FALSE))</f>
        <v>x</v>
      </c>
      <c r="CZ6" s="5" t="s">
        <v>30</v>
      </c>
      <c r="DB6" s="5" t="s">
        <v>30</v>
      </c>
      <c r="DC6" s="1" t="str">
        <f>IF(DC16="x","x",HLOOKUP(DC16,DC25:DF47,23,FALSE))</f>
        <v>^</v>
      </c>
      <c r="DD6" s="8" t="str">
        <f>IF(DD16="x","x",HLOOKUP(DD16,DC31:DF47,17,FALSE))</f>
        <v>x</v>
      </c>
      <c r="DE6" s="1" t="str">
        <f>IF(DE16="x","x",HLOOKUP(DE16,DC37:DF47,11,FALSE))</f>
        <v>x</v>
      </c>
      <c r="DF6" s="11" t="str">
        <f>IF(DF16="x","x",HLOOKUP(DF16,DC43:DF47,5,FALSE))</f>
        <v>x</v>
      </c>
      <c r="DG6" s="5" t="s">
        <v>30</v>
      </c>
    </row>
    <row r="7" spans="1:111" x14ac:dyDescent="0.25">
      <c r="H7" s="5" t="s">
        <v>30</v>
      </c>
      <c r="I7" s="1" t="str">
        <f>IF(I17="x","x",HLOOKUP(I17,I26:L47,22,FALSE))</f>
        <v>^</v>
      </c>
      <c r="J7" s="1" t="str">
        <f>IF(J17="x","x",HLOOKUP(J17,I32:L47,16,FALSE))</f>
        <v>^</v>
      </c>
      <c r="K7" s="1" t="str">
        <f>IF(K17="x","x",HLOOKUP(K17,I38:L47,10,FALSE))</f>
        <v>^</v>
      </c>
      <c r="L7" s="11" t="str">
        <f>IF(L17="x","x",HLOOKUP(L17,I44:L47,4,FALSE))</f>
        <v>^</v>
      </c>
      <c r="M7" s="5" t="s">
        <v>30</v>
      </c>
      <c r="O7" s="5" t="s">
        <v>30</v>
      </c>
      <c r="P7" s="1" t="str">
        <f>IF(P17="x","x",HLOOKUP(P17,P26:S47,22,FALSE))</f>
        <v>^</v>
      </c>
      <c r="Q7" s="1" t="str">
        <f>IF(Q17="x","x",HLOOKUP(Q17,P32:S47,16,FALSE))</f>
        <v>^</v>
      </c>
      <c r="R7" s="1" t="str">
        <f>IF(R17="x","x",HLOOKUP(R17,P38:S47,10,FALSE))</f>
        <v>^</v>
      </c>
      <c r="S7" s="11" t="str">
        <f>IF(S17="x","x",HLOOKUP(S17,P44:S47,4,FALSE))</f>
        <v>^</v>
      </c>
      <c r="T7" s="5" t="s">
        <v>30</v>
      </c>
      <c r="V7" s="5" t="s">
        <v>30</v>
      </c>
      <c r="W7" s="1" t="str">
        <f>IF(W17="x","x",HLOOKUP(W17,W26:Z47,22,FALSE))</f>
        <v>^</v>
      </c>
      <c r="X7" s="1" t="str">
        <f>IF(X17="x","x",HLOOKUP(X17,W32:Z47,16,FALSE))</f>
        <v>^</v>
      </c>
      <c r="Y7" s="1" t="str">
        <f>IF(Y17="x","x",HLOOKUP(Y17,W38:Z47,10,FALSE))</f>
        <v>^</v>
      </c>
      <c r="Z7" s="11" t="str">
        <f>IF(Z17="x","x",HLOOKUP(Z17,W44:Z47,4,FALSE))</f>
        <v>^</v>
      </c>
      <c r="AA7" s="5" t="s">
        <v>30</v>
      </c>
      <c r="AC7" s="5" t="s">
        <v>30</v>
      </c>
      <c r="AD7" s="1" t="str">
        <f>IF(AD17="x","x",HLOOKUP(AD17,AD26:AG47,22,FALSE))</f>
        <v>^</v>
      </c>
      <c r="AE7" s="1" t="str">
        <f>IF(AE17="x","x",HLOOKUP(AE17,AD32:AG47,16,FALSE))</f>
        <v>^</v>
      </c>
      <c r="AF7" s="1" t="str">
        <f>IF(AF17="x","x",HLOOKUP(AF17,AD38:AG47,10,FALSE))</f>
        <v>^</v>
      </c>
      <c r="AG7" s="11" t="str">
        <f>IF(AG17="x","x",HLOOKUP(AG17,AD44:AG47,4,FALSE))</f>
        <v>^</v>
      </c>
      <c r="AH7" s="5" t="s">
        <v>30</v>
      </c>
      <c r="AJ7" s="5" t="s">
        <v>30</v>
      </c>
      <c r="AK7" s="1" t="str">
        <f>IF(AK17="x","x",HLOOKUP(AK17,AK26:AN47,22,FALSE))</f>
        <v>^</v>
      </c>
      <c r="AL7" s="1" t="str">
        <f>IF(AL17="x","x",HLOOKUP(AL17,AK32:AN47,16,FALSE))</f>
        <v>^</v>
      </c>
      <c r="AM7" s="1" t="str">
        <f>IF(AM17="x","x",HLOOKUP(AM17,AK38:AN47,10,FALSE))</f>
        <v>^</v>
      </c>
      <c r="AN7" s="11" t="str">
        <f>IF(AN17="x","x",HLOOKUP(AN17,AK44:AN47,4,FALSE))</f>
        <v>^</v>
      </c>
      <c r="AO7" s="5" t="s">
        <v>30</v>
      </c>
      <c r="AQ7" s="5" t="s">
        <v>30</v>
      </c>
      <c r="AR7" s="1" t="str">
        <f>IF(AR17="x","x",HLOOKUP(AR17,AR26:AU47,22,FALSE))</f>
        <v>^</v>
      </c>
      <c r="AS7" s="1" t="str">
        <f>IF(AS17="x","x",HLOOKUP(AS17,AR32:AU47,16,FALSE))</f>
        <v>^</v>
      </c>
      <c r="AT7" s="1" t="str">
        <f>IF(AT17="x","x",HLOOKUP(AT17,AR38:AU47,10,FALSE))</f>
        <v>^</v>
      </c>
      <c r="AU7" s="11" t="str">
        <f>IF(AU17="x","x",HLOOKUP(AU17,AR44:AU47,4,FALSE))</f>
        <v>^</v>
      </c>
      <c r="AV7" s="5" t="s">
        <v>30</v>
      </c>
      <c r="AX7" s="5" t="s">
        <v>30</v>
      </c>
      <c r="AY7" s="1" t="str">
        <f>IF(AY17="x","x",HLOOKUP(AY17,AY26:BB47,22,FALSE))</f>
        <v>^</v>
      </c>
      <c r="AZ7" s="1" t="str">
        <f>IF(AZ17="x","x",HLOOKUP(AZ17,AY32:BB47,16,FALSE))</f>
        <v>&lt;</v>
      </c>
      <c r="BA7" s="1" t="str">
        <f>IF(BA17="x","x",HLOOKUP(BA17,AY38:BB47,10,FALSE))</f>
        <v>^</v>
      </c>
      <c r="BB7" s="11" t="str">
        <f>IF(BB17="x","x",HLOOKUP(BB17,AY44:BB47,4,FALSE))</f>
        <v>^</v>
      </c>
      <c r="BC7" s="5" t="s">
        <v>30</v>
      </c>
      <c r="BE7" s="5" t="s">
        <v>30</v>
      </c>
      <c r="BF7" s="1" t="str">
        <f>IF(BF17="x","x",HLOOKUP(BF17,BF26:BI47,22,FALSE))</f>
        <v>^</v>
      </c>
      <c r="BG7" s="1" t="str">
        <f>IF(BG17="x","x",HLOOKUP(BG17,BF32:BI47,16,FALSE))</f>
        <v>&lt;</v>
      </c>
      <c r="BH7" s="1" t="str">
        <f>IF(BH17="x","x",HLOOKUP(BH17,BF38:BI47,10,FALSE))</f>
        <v>&lt;</v>
      </c>
      <c r="BI7" s="11" t="str">
        <f>IF(BI17="x","x",HLOOKUP(BI17,BF44:BI47,4,FALSE))</f>
        <v>^</v>
      </c>
      <c r="BJ7" s="5" t="s">
        <v>30</v>
      </c>
      <c r="BL7" s="5" t="s">
        <v>30</v>
      </c>
      <c r="BM7" s="1" t="str">
        <f>IF(BM17="x","x",HLOOKUP(BM17,BM26:BP47,22,FALSE))</f>
        <v>^</v>
      </c>
      <c r="BN7" s="1" t="str">
        <f>IF(BN17="x","x",HLOOKUP(BN17,BM32:BP47,16,FALSE))</f>
        <v>&lt;</v>
      </c>
      <c r="BO7" s="1" t="str">
        <f>IF(BO17="x","x",HLOOKUP(BO17,BM38:BP47,10,FALSE))</f>
        <v>&lt;</v>
      </c>
      <c r="BP7" s="11" t="str">
        <f>IF(BP17="x","x",HLOOKUP(BP17,BM44:BP47,4,FALSE))</f>
        <v>&lt;</v>
      </c>
      <c r="BQ7" s="5" t="s">
        <v>30</v>
      </c>
      <c r="BS7" s="5" t="s">
        <v>30</v>
      </c>
      <c r="BT7" s="1" t="str">
        <f>IF(BT17="x","x",HLOOKUP(BT17,BT26:BW47,22,FALSE))</f>
        <v>^</v>
      </c>
      <c r="BU7" s="1" t="str">
        <f>IF(BU17="x","x",HLOOKUP(BU17,BT32:BW47,16,FALSE))</f>
        <v>&lt;</v>
      </c>
      <c r="BV7" s="1" t="str">
        <f>IF(BV17="x","x",HLOOKUP(BV17,BT38:BW47,10,FALSE))</f>
        <v>&lt;</v>
      </c>
      <c r="BW7" s="11" t="str">
        <f>IF(BW17="x","x",HLOOKUP(BW17,BT44:BW47,4,FALSE))</f>
        <v>&lt;</v>
      </c>
      <c r="BX7" s="5" t="s">
        <v>30</v>
      </c>
      <c r="BZ7" s="5" t="s">
        <v>30</v>
      </c>
      <c r="CA7" s="1" t="str">
        <f>IF(CA17="x","x",HLOOKUP(CA17,CA26:CD47,22,FALSE))</f>
        <v>^</v>
      </c>
      <c r="CB7" s="1" t="str">
        <f>IF(CB17="x","x",HLOOKUP(CB17,CA32:CD47,16,FALSE))</f>
        <v>&lt;</v>
      </c>
      <c r="CC7" s="1" t="str">
        <f>IF(CC17="x","x",HLOOKUP(CC17,CA38:CD47,10,FALSE))</f>
        <v>&lt;</v>
      </c>
      <c r="CD7" s="11" t="str">
        <f>IF(CD17="x","x",HLOOKUP(CD17,CA44:CD47,4,FALSE))</f>
        <v>&lt;</v>
      </c>
      <c r="CE7" s="5" t="s">
        <v>30</v>
      </c>
      <c r="CG7" s="5" t="s">
        <v>30</v>
      </c>
      <c r="CH7" s="1" t="str">
        <f>IF(CH17="x","x",HLOOKUP(CH17,CH26:CK47,22,FALSE))</f>
        <v>^</v>
      </c>
      <c r="CI7" s="1" t="str">
        <f>IF(CI17="x","x",HLOOKUP(CI17,CH32:CK47,16,FALSE))</f>
        <v>&lt;</v>
      </c>
      <c r="CJ7" s="1" t="str">
        <f>IF(CJ17="x","x",HLOOKUP(CJ17,CH38:CK47,10,FALSE))</f>
        <v>&lt;</v>
      </c>
      <c r="CK7" s="11" t="str">
        <f>IF(CK17="x","x",HLOOKUP(CK17,CH44:CK47,4,FALSE))</f>
        <v>&lt;</v>
      </c>
      <c r="CL7" s="5" t="s">
        <v>30</v>
      </c>
      <c r="CN7" s="5" t="s">
        <v>30</v>
      </c>
      <c r="CO7" s="1" t="str">
        <f>IF(CO17="x","x",HLOOKUP(CO17,CO26:CR47,22,FALSE))</f>
        <v>^</v>
      </c>
      <c r="CP7" s="1" t="str">
        <f>IF(CP17="x","x",HLOOKUP(CP17,CO32:CR47,16,FALSE))</f>
        <v>&lt;</v>
      </c>
      <c r="CQ7" s="1" t="str">
        <f>IF(CQ17="x","x",HLOOKUP(CQ17,CO38:CR47,10,FALSE))</f>
        <v>&lt;</v>
      </c>
      <c r="CR7" s="11" t="str">
        <f>IF(CR17="x","x",HLOOKUP(CR17,CO44:CR47,4,FALSE))</f>
        <v>&lt;</v>
      </c>
      <c r="CS7" s="5" t="s">
        <v>30</v>
      </c>
      <c r="CU7" s="5" t="s">
        <v>30</v>
      </c>
      <c r="CV7" s="1" t="str">
        <f>IF(CV17="x","x",HLOOKUP(CV17,CV26:CY47,22,FALSE))</f>
        <v>^</v>
      </c>
      <c r="CW7" s="1" t="str">
        <f>IF(CW17="x","x",HLOOKUP(CW17,CV32:CY47,16,FALSE))</f>
        <v>&lt;</v>
      </c>
      <c r="CX7" s="1" t="str">
        <f>IF(CX17="x","x",HLOOKUP(CX17,CV38:CY47,10,FALSE))</f>
        <v>&lt;</v>
      </c>
      <c r="CY7" s="11" t="str">
        <f>IF(CY17="x","x",HLOOKUP(CY17,CV44:CY47,4,FALSE))</f>
        <v>&lt;</v>
      </c>
      <c r="CZ7" s="5" t="s">
        <v>30</v>
      </c>
      <c r="DB7" s="5" t="s">
        <v>30</v>
      </c>
      <c r="DC7" s="1" t="str">
        <f>IF(DC17="x","x",HLOOKUP(DC17,DC26:DF47,22,FALSE))</f>
        <v>^</v>
      </c>
      <c r="DD7" s="1" t="str">
        <f>IF(DD17="x","x",HLOOKUP(DD17,DC32:DF47,16,FALSE))</f>
        <v>&lt;</v>
      </c>
      <c r="DE7" s="1" t="str">
        <f>IF(DE17="x","x",HLOOKUP(DE17,DC38:DF47,10,FALSE))</f>
        <v>&lt;</v>
      </c>
      <c r="DF7" s="11" t="str">
        <f>IF(DF17="x","x",HLOOKUP(DF17,DC44:DF47,4,FALSE))</f>
        <v>&lt;</v>
      </c>
      <c r="DG7" s="5" t="s">
        <v>30</v>
      </c>
    </row>
    <row r="8" spans="1:111" x14ac:dyDescent="0.25">
      <c r="A8" t="s">
        <v>34</v>
      </c>
      <c r="B8">
        <v>1</v>
      </c>
      <c r="H8" s="5" t="s">
        <v>30</v>
      </c>
      <c r="I8" s="1" t="str">
        <f>IF(I18="x","x",HLOOKUP(I18,I27:L47,21,FALSE))</f>
        <v>x</v>
      </c>
      <c r="J8" s="8" t="str">
        <f>IF(J18="x","x",HLOOKUP(J18,I33:L47,15,FALSE))</f>
        <v>x</v>
      </c>
      <c r="K8" s="8" t="str">
        <f>IF(K18="x","x",HLOOKUP(K18,I39:L47,9,FALSE))</f>
        <v>x</v>
      </c>
      <c r="L8" s="11" t="str">
        <f>IF(L18="x","x",HLOOKUP(L18,I45:L47,3,FALSE))</f>
        <v>^</v>
      </c>
      <c r="M8" s="5" t="s">
        <v>30</v>
      </c>
      <c r="O8" s="5" t="s">
        <v>30</v>
      </c>
      <c r="P8" s="1" t="str">
        <f>IF(P18="x","x",HLOOKUP(P18,P27:S47,21,FALSE))</f>
        <v>x</v>
      </c>
      <c r="Q8" s="8" t="str">
        <f>IF(Q18="x","x",HLOOKUP(Q18,P33:S47,15,FALSE))</f>
        <v>x</v>
      </c>
      <c r="R8" s="8" t="str">
        <f>IF(R18="x","x",HLOOKUP(R18,P39:S47,9,FALSE))</f>
        <v>x</v>
      </c>
      <c r="S8" s="11" t="str">
        <f>IF(S18="x","x",HLOOKUP(S18,P45:S47,3,FALSE))</f>
        <v>^</v>
      </c>
      <c r="T8" s="5" t="s">
        <v>30</v>
      </c>
      <c r="V8" s="5" t="s">
        <v>30</v>
      </c>
      <c r="W8" s="1" t="str">
        <f>IF(W18="x","x",HLOOKUP(W18,W27:Z47,21,FALSE))</f>
        <v>x</v>
      </c>
      <c r="X8" s="8" t="str">
        <f>IF(X18="x","x",HLOOKUP(X18,W33:Z47,15,FALSE))</f>
        <v>x</v>
      </c>
      <c r="Y8" s="8" t="str">
        <f>IF(Y18="x","x",HLOOKUP(Y18,W39:Z47,9,FALSE))</f>
        <v>x</v>
      </c>
      <c r="Z8" s="11" t="str">
        <f>IF(Z18="x","x",HLOOKUP(Z18,W45:Z47,3,FALSE))</f>
        <v>^</v>
      </c>
      <c r="AA8" s="5" t="s">
        <v>30</v>
      </c>
      <c r="AC8" s="5" t="s">
        <v>30</v>
      </c>
      <c r="AD8" s="1" t="str">
        <f>IF(AD18="x","x",HLOOKUP(AD18,AD27:AG47,21,FALSE))</f>
        <v>x</v>
      </c>
      <c r="AE8" s="8" t="str">
        <f>IF(AE18="x","x",HLOOKUP(AE18,AD33:AG47,15,FALSE))</f>
        <v>x</v>
      </c>
      <c r="AF8" s="8" t="str">
        <f>IF(AF18="x","x",HLOOKUP(AF18,AD39:AG47,9,FALSE))</f>
        <v>x</v>
      </c>
      <c r="AG8" s="11" t="str">
        <f>IF(AG18="x","x",HLOOKUP(AG18,AD45:AG47,3,FALSE))</f>
        <v>^</v>
      </c>
      <c r="AH8" s="5" t="s">
        <v>30</v>
      </c>
      <c r="AJ8" s="5" t="s">
        <v>30</v>
      </c>
      <c r="AK8" s="1" t="str">
        <f>IF(AK18="x","x",HLOOKUP(AK18,AK27:AN47,21,FALSE))</f>
        <v>x</v>
      </c>
      <c r="AL8" s="8" t="str">
        <f>IF(AL18="x","x",HLOOKUP(AL18,AK33:AN47,15,FALSE))</f>
        <v>x</v>
      </c>
      <c r="AM8" s="8" t="str">
        <f>IF(AM18="x","x",HLOOKUP(AM18,AK39:AN47,9,FALSE))</f>
        <v>x</v>
      </c>
      <c r="AN8" s="11" t="str">
        <f>IF(AN18="x","x",HLOOKUP(AN18,AK45:AN47,3,FALSE))</f>
        <v>^</v>
      </c>
      <c r="AO8" s="5" t="s">
        <v>30</v>
      </c>
      <c r="AQ8" s="5" t="s">
        <v>30</v>
      </c>
      <c r="AR8" s="1" t="str">
        <f>IF(AR18="x","x",HLOOKUP(AR18,AR27:AU47,21,FALSE))</f>
        <v>x</v>
      </c>
      <c r="AS8" s="8" t="str">
        <f>IF(AS18="x","x",HLOOKUP(AS18,AR33:AU47,15,FALSE))</f>
        <v>x</v>
      </c>
      <c r="AT8" s="8" t="str">
        <f>IF(AT18="x","x",HLOOKUP(AT18,AR39:AU47,9,FALSE))</f>
        <v>x</v>
      </c>
      <c r="AU8" s="11" t="str">
        <f>IF(AU18="x","x",HLOOKUP(AU18,AR45:AU47,3,FALSE))</f>
        <v>^</v>
      </c>
      <c r="AV8" s="5" t="s">
        <v>30</v>
      </c>
      <c r="AX8" s="5" t="s">
        <v>30</v>
      </c>
      <c r="AY8" s="1" t="str">
        <f>IF(AY18="x","x",HLOOKUP(AY18,AY27:BB47,21,FALSE))</f>
        <v>x</v>
      </c>
      <c r="AZ8" s="8" t="str">
        <f>IF(AZ18="x","x",HLOOKUP(AZ18,AY33:BB47,15,FALSE))</f>
        <v>x</v>
      </c>
      <c r="BA8" s="8" t="str">
        <f>IF(BA18="x","x",HLOOKUP(BA18,AY39:BB47,9,FALSE))</f>
        <v>x</v>
      </c>
      <c r="BB8" s="11" t="str">
        <f>IF(BB18="x","x",HLOOKUP(BB18,AY45:BB47,3,FALSE))</f>
        <v>^</v>
      </c>
      <c r="BC8" s="5" t="s">
        <v>30</v>
      </c>
      <c r="BE8" s="5" t="s">
        <v>30</v>
      </c>
      <c r="BF8" s="1" t="str">
        <f>IF(BF18="x","x",HLOOKUP(BF18,BF27:BI47,21,FALSE))</f>
        <v>x</v>
      </c>
      <c r="BG8" s="8" t="str">
        <f>IF(BG18="x","x",HLOOKUP(BG18,BF33:BI47,15,FALSE))</f>
        <v>x</v>
      </c>
      <c r="BH8" s="8" t="str">
        <f>IF(BH18="x","x",HLOOKUP(BH18,BF39:BI47,9,FALSE))</f>
        <v>x</v>
      </c>
      <c r="BI8" s="11" t="str">
        <f>IF(BI18="x","x",HLOOKUP(BI18,BF45:BI47,3,FALSE))</f>
        <v>^</v>
      </c>
      <c r="BJ8" s="5" t="s">
        <v>30</v>
      </c>
      <c r="BL8" s="5" t="s">
        <v>30</v>
      </c>
      <c r="BM8" s="1" t="str">
        <f>IF(BM18="x","x",HLOOKUP(BM18,BM27:BP47,21,FALSE))</f>
        <v>x</v>
      </c>
      <c r="BN8" s="8" t="str">
        <f>IF(BN18="x","x",HLOOKUP(BN18,BM33:BP47,15,FALSE))</f>
        <v>x</v>
      </c>
      <c r="BO8" s="8" t="str">
        <f>IF(BO18="x","x",HLOOKUP(BO18,BM39:BP47,9,FALSE))</f>
        <v>x</v>
      </c>
      <c r="BP8" s="11" t="str">
        <f>IF(BP18="x","x",HLOOKUP(BP18,BM45:BP47,3,FALSE))</f>
        <v>^</v>
      </c>
      <c r="BQ8" s="5" t="s">
        <v>30</v>
      </c>
      <c r="BS8" s="5" t="s">
        <v>30</v>
      </c>
      <c r="BT8" s="1" t="str">
        <f>IF(BT18="x","x",HLOOKUP(BT18,BT27:BW47,21,FALSE))</f>
        <v>x</v>
      </c>
      <c r="BU8" s="8" t="str">
        <f>IF(BU18="x","x",HLOOKUP(BU18,BT33:BW47,15,FALSE))</f>
        <v>x</v>
      </c>
      <c r="BV8" s="8" t="str">
        <f>IF(BV18="x","x",HLOOKUP(BV18,BT39:BW47,9,FALSE))</f>
        <v>x</v>
      </c>
      <c r="BW8" s="11" t="str">
        <f>IF(BW18="x","x",HLOOKUP(BW18,BT45:BW47,3,FALSE))</f>
        <v>^</v>
      </c>
      <c r="BX8" s="5" t="s">
        <v>30</v>
      </c>
      <c r="BZ8" s="5" t="s">
        <v>30</v>
      </c>
      <c r="CA8" s="1" t="str">
        <f>IF(CA18="x","x",HLOOKUP(CA18,CA27:CD47,21,FALSE))</f>
        <v>x</v>
      </c>
      <c r="CB8" s="8" t="str">
        <f>IF(CB18="x","x",HLOOKUP(CB18,CA33:CD47,15,FALSE))</f>
        <v>x</v>
      </c>
      <c r="CC8" s="8" t="str">
        <f>IF(CC18="x","x",HLOOKUP(CC18,CA39:CD47,9,FALSE))</f>
        <v>x</v>
      </c>
      <c r="CD8" s="11" t="str">
        <f>IF(CD18="x","x",HLOOKUP(CD18,CA45:CD47,3,FALSE))</f>
        <v>^</v>
      </c>
      <c r="CE8" s="5" t="s">
        <v>30</v>
      </c>
      <c r="CG8" s="5" t="s">
        <v>30</v>
      </c>
      <c r="CH8" s="1" t="str">
        <f>IF(CH18="x","x",HLOOKUP(CH18,CH27:CK47,21,FALSE))</f>
        <v>x</v>
      </c>
      <c r="CI8" s="8" t="str">
        <f>IF(CI18="x","x",HLOOKUP(CI18,CH33:CK47,15,FALSE))</f>
        <v>x</v>
      </c>
      <c r="CJ8" s="8" t="str">
        <f>IF(CJ18="x","x",HLOOKUP(CJ18,CH39:CK47,9,FALSE))</f>
        <v>x</v>
      </c>
      <c r="CK8" s="11" t="str">
        <f>IF(CK18="x","x",HLOOKUP(CK18,CH45:CK47,3,FALSE))</f>
        <v>^</v>
      </c>
      <c r="CL8" s="5" t="s">
        <v>30</v>
      </c>
      <c r="CN8" s="5" t="s">
        <v>30</v>
      </c>
      <c r="CO8" s="1" t="str">
        <f>IF(CO18="x","x",HLOOKUP(CO18,CO27:CR47,21,FALSE))</f>
        <v>x</v>
      </c>
      <c r="CP8" s="8" t="str">
        <f>IF(CP18="x","x",HLOOKUP(CP18,CO33:CR47,15,FALSE))</f>
        <v>x</v>
      </c>
      <c r="CQ8" s="8" t="str">
        <f>IF(CQ18="x","x",HLOOKUP(CQ18,CO39:CR47,9,FALSE))</f>
        <v>x</v>
      </c>
      <c r="CR8" s="11" t="str">
        <f>IF(CR18="x","x",HLOOKUP(CR18,CO45:CR47,3,FALSE))</f>
        <v>^</v>
      </c>
      <c r="CS8" s="5" t="s">
        <v>30</v>
      </c>
      <c r="CU8" s="5" t="s">
        <v>30</v>
      </c>
      <c r="CV8" s="1" t="str">
        <f>IF(CV18="x","x",HLOOKUP(CV18,CV27:CY47,21,FALSE))</f>
        <v>x</v>
      </c>
      <c r="CW8" s="8" t="str">
        <f>IF(CW18="x","x",HLOOKUP(CW18,CV33:CY47,15,FALSE))</f>
        <v>x</v>
      </c>
      <c r="CX8" s="8" t="str">
        <f>IF(CX18="x","x",HLOOKUP(CX18,CV39:CY47,9,FALSE))</f>
        <v>x</v>
      </c>
      <c r="CY8" s="11" t="str">
        <f>IF(CY18="x","x",HLOOKUP(CY18,CV45:CY47,3,FALSE))</f>
        <v>^</v>
      </c>
      <c r="CZ8" s="5" t="s">
        <v>30</v>
      </c>
      <c r="DB8" s="5" t="s">
        <v>30</v>
      </c>
      <c r="DC8" s="1" t="str">
        <f>IF(DC18="x","x",HLOOKUP(DC18,DC27:DF47,21,FALSE))</f>
        <v>x</v>
      </c>
      <c r="DD8" s="8" t="str">
        <f>IF(DD18="x","x",HLOOKUP(DD18,DC33:DF47,15,FALSE))</f>
        <v>x</v>
      </c>
      <c r="DE8" s="8" t="str">
        <f>IF(DE18="x","x",HLOOKUP(DE18,DC39:DF47,9,FALSE))</f>
        <v>x</v>
      </c>
      <c r="DF8" s="11" t="str">
        <f>IF(DF18="x","x",HLOOKUP(DF18,DC45:DF47,3,FALSE))</f>
        <v>^</v>
      </c>
      <c r="DG8" s="5" t="s">
        <v>30</v>
      </c>
    </row>
    <row r="9" spans="1:111" x14ac:dyDescent="0.25">
      <c r="A9" t="s">
        <v>35</v>
      </c>
      <c r="B9">
        <v>-0.99</v>
      </c>
      <c r="H9" s="5" t="s">
        <v>30</v>
      </c>
      <c r="I9" s="1" t="str">
        <f>IF(I19="x","x",HLOOKUP(I19,I28:L47,20,FALSE))</f>
        <v>^</v>
      </c>
      <c r="J9" s="1" t="str">
        <f>IF(J19="x","x",HLOOKUP(J19,I34:L47,14,FALSE))</f>
        <v>^</v>
      </c>
      <c r="K9" s="1" t="str">
        <f>IF(K19="x","x",HLOOKUP(K19,I40:L47,8,FALSE))</f>
        <v>^</v>
      </c>
      <c r="L9" s="1" t="str">
        <f>IF(L19="x","x",HLOOKUP(L19,I46:L47,2,FALSE))</f>
        <v>^</v>
      </c>
      <c r="M9" s="5" t="s">
        <v>30</v>
      </c>
      <c r="O9" s="5" t="s">
        <v>30</v>
      </c>
      <c r="P9" s="1" t="str">
        <f>IF(P19="x","x",HLOOKUP(P19,P28:S47,20,FALSE))</f>
        <v>^</v>
      </c>
      <c r="Q9" s="1" t="str">
        <f>IF(Q19="x","x",HLOOKUP(Q19,P34:S47,14,FALSE))</f>
        <v>^</v>
      </c>
      <c r="R9" s="1" t="str">
        <f>IF(R19="x","x",HLOOKUP(R19,P40:S47,8,FALSE))</f>
        <v>^</v>
      </c>
      <c r="S9" s="1" t="str">
        <f>IF(S19="x","x",HLOOKUP(S19,P46:S47,2,FALSE))</f>
        <v>^</v>
      </c>
      <c r="T9" s="5" t="s">
        <v>30</v>
      </c>
      <c r="V9" s="5" t="s">
        <v>30</v>
      </c>
      <c r="W9" s="1" t="str">
        <f>IF(W19="x","x",HLOOKUP(W19,W28:Z47,20,FALSE))</f>
        <v>^</v>
      </c>
      <c r="X9" s="1" t="str">
        <f>IF(X19="x","x",HLOOKUP(X19,W34:Z47,14,FALSE))</f>
        <v>^</v>
      </c>
      <c r="Y9" s="1" t="str">
        <f>IF(Y19="x","x",HLOOKUP(Y19,W40:Z47,8,FALSE))</f>
        <v>^</v>
      </c>
      <c r="Z9" s="1" t="str">
        <f>IF(Z19="x","x",HLOOKUP(Z19,W46:Z47,2,FALSE))</f>
        <v>^</v>
      </c>
      <c r="AA9" s="5" t="s">
        <v>30</v>
      </c>
      <c r="AC9" s="5" t="s">
        <v>30</v>
      </c>
      <c r="AD9" s="1" t="str">
        <f>IF(AD19="x","x",HLOOKUP(AD19,AD28:AG47,20,FALSE))</f>
        <v>^</v>
      </c>
      <c r="AE9" s="1" t="str">
        <f>IF(AE19="x","x",HLOOKUP(AE19,AD34:AG47,14,FALSE))</f>
        <v>^</v>
      </c>
      <c r="AF9" s="1" t="str">
        <f>IF(AF19="x","x",HLOOKUP(AF19,AD40:AG47,8,FALSE))</f>
        <v>^</v>
      </c>
      <c r="AG9" s="1" t="str">
        <f>IF(AG19="x","x",HLOOKUP(AG19,AD46:AG47,2,FALSE))</f>
        <v>^</v>
      </c>
      <c r="AH9" s="5" t="s">
        <v>30</v>
      </c>
      <c r="AJ9" s="5" t="s">
        <v>30</v>
      </c>
      <c r="AK9" s="1" t="str">
        <f>IF(AK19="x","x",HLOOKUP(AK19,AK28:AN47,20,FALSE))</f>
        <v>^</v>
      </c>
      <c r="AL9" s="1" t="str">
        <f>IF(AL19="x","x",HLOOKUP(AL19,AK34:AN47,14,FALSE))</f>
        <v>^</v>
      </c>
      <c r="AM9" s="1" t="str">
        <f>IF(AM19="x","x",HLOOKUP(AM19,AK40:AN47,8,FALSE))</f>
        <v>^</v>
      </c>
      <c r="AN9" s="1" t="str">
        <f>IF(AN19="x","x",HLOOKUP(AN19,AK46:AN47,2,FALSE))</f>
        <v>^</v>
      </c>
      <c r="AO9" s="5" t="s">
        <v>30</v>
      </c>
      <c r="AQ9" s="5" t="s">
        <v>30</v>
      </c>
      <c r="AR9" s="1" t="str">
        <f>IF(AR19="x","x",HLOOKUP(AR19,AR28:AU47,20,FALSE))</f>
        <v>^</v>
      </c>
      <c r="AS9" s="1" t="str">
        <f>IF(AS19="x","x",HLOOKUP(AS19,AR34:AU47,14,FALSE))</f>
        <v>^</v>
      </c>
      <c r="AT9" s="1" t="str">
        <f>IF(AT19="x","x",HLOOKUP(AT19,AR40:AU47,8,FALSE))</f>
        <v>^</v>
      </c>
      <c r="AU9" s="1" t="str">
        <f>IF(AU19="x","x",HLOOKUP(AU19,AR46:AU47,2,FALSE))</f>
        <v>^</v>
      </c>
      <c r="AV9" s="5" t="s">
        <v>30</v>
      </c>
      <c r="AX9" s="5" t="s">
        <v>30</v>
      </c>
      <c r="AY9" s="1" t="str">
        <f>IF(AY19="x","x",HLOOKUP(AY19,AY28:BB47,20,FALSE))</f>
        <v>^</v>
      </c>
      <c r="AZ9" s="1" t="str">
        <f>IF(AZ19="x","x",HLOOKUP(AZ19,AY34:BB47,14,FALSE))</f>
        <v>^</v>
      </c>
      <c r="BA9" s="1" t="str">
        <f>IF(BA19="x","x",HLOOKUP(BA19,AY40:BB47,8,FALSE))</f>
        <v>^</v>
      </c>
      <c r="BB9" s="1" t="str">
        <f>IF(BB19="x","x",HLOOKUP(BB19,AY46:BB47,2,FALSE))</f>
        <v>^</v>
      </c>
      <c r="BC9" s="5" t="s">
        <v>30</v>
      </c>
      <c r="BE9" s="5" t="s">
        <v>30</v>
      </c>
      <c r="BF9" s="1" t="str">
        <f>IF(BF19="x","x",HLOOKUP(BF19,BF28:BI47,20,FALSE))</f>
        <v>^</v>
      </c>
      <c r="BG9" s="1" t="str">
        <f>IF(BG19="x","x",HLOOKUP(BG19,BF34:BI47,14,FALSE))</f>
        <v>^</v>
      </c>
      <c r="BH9" s="1" t="str">
        <f>IF(BH19="x","x",HLOOKUP(BH19,BF40:BI47,8,FALSE))</f>
        <v>^</v>
      </c>
      <c r="BI9" s="1" t="str">
        <f>IF(BI19="x","x",HLOOKUP(BI19,BF46:BI47,2,FALSE))</f>
        <v>^</v>
      </c>
      <c r="BJ9" s="5" t="s">
        <v>30</v>
      </c>
      <c r="BL9" s="5" t="s">
        <v>30</v>
      </c>
      <c r="BM9" s="1" t="str">
        <f>IF(BM19="x","x",HLOOKUP(BM19,BM28:BP47,20,FALSE))</f>
        <v>^</v>
      </c>
      <c r="BN9" s="1" t="str">
        <f>IF(BN19="x","x",HLOOKUP(BN19,BM34:BP47,14,FALSE))</f>
        <v>^</v>
      </c>
      <c r="BO9" s="1" t="str">
        <f>IF(BO19="x","x",HLOOKUP(BO19,BM40:BP47,8,FALSE))</f>
        <v>^</v>
      </c>
      <c r="BP9" s="1" t="str">
        <f>IF(BP19="x","x",HLOOKUP(BP19,BM46:BP47,2,FALSE))</f>
        <v>^</v>
      </c>
      <c r="BQ9" s="5" t="s">
        <v>30</v>
      </c>
      <c r="BS9" s="5" t="s">
        <v>30</v>
      </c>
      <c r="BT9" s="1" t="str">
        <f>IF(BT19="x","x",HLOOKUP(BT19,BT28:BW47,20,FALSE))</f>
        <v>^</v>
      </c>
      <c r="BU9" s="1" t="str">
        <f>IF(BU19="x","x",HLOOKUP(BU19,BT34:BW47,14,FALSE))</f>
        <v>^</v>
      </c>
      <c r="BV9" s="1" t="str">
        <f>IF(BV19="x","x",HLOOKUP(BV19,BT40:BW47,8,FALSE))</f>
        <v>^</v>
      </c>
      <c r="BW9" s="1" t="str">
        <f>IF(BW19="x","x",HLOOKUP(BW19,BT46:BW47,2,FALSE))</f>
        <v>^</v>
      </c>
      <c r="BX9" s="5" t="s">
        <v>30</v>
      </c>
      <c r="BZ9" s="5" t="s">
        <v>30</v>
      </c>
      <c r="CA9" s="1" t="str">
        <f>IF(CA19="x","x",HLOOKUP(CA19,CA28:CD47,20,FALSE))</f>
        <v>^</v>
      </c>
      <c r="CB9" s="1" t="str">
        <f>IF(CB19="x","x",HLOOKUP(CB19,CA34:CD47,14,FALSE))</f>
        <v>^</v>
      </c>
      <c r="CC9" s="1" t="str">
        <f>IF(CC19="x","x",HLOOKUP(CC19,CA40:CD47,8,FALSE))</f>
        <v>^</v>
      </c>
      <c r="CD9" s="1" t="str">
        <f>IF(CD19="x","x",HLOOKUP(CD19,CA46:CD47,2,FALSE))</f>
        <v>^</v>
      </c>
      <c r="CE9" s="5" t="s">
        <v>30</v>
      </c>
      <c r="CG9" s="5" t="s">
        <v>30</v>
      </c>
      <c r="CH9" s="1" t="str">
        <f>IF(CH19="x","x",HLOOKUP(CH19,CH28:CK47,20,FALSE))</f>
        <v>^</v>
      </c>
      <c r="CI9" s="1" t="str">
        <f>IF(CI19="x","x",HLOOKUP(CI19,CH34:CK47,14,FALSE))</f>
        <v>^</v>
      </c>
      <c r="CJ9" s="1" t="str">
        <f>IF(CJ19="x","x",HLOOKUP(CJ19,CH40:CK47,8,FALSE))</f>
        <v>&gt;</v>
      </c>
      <c r="CK9" s="1" t="str">
        <f>IF(CK19="x","x",HLOOKUP(CK19,CH46:CK47,2,FALSE))</f>
        <v>^</v>
      </c>
      <c r="CL9" s="5" t="s">
        <v>30</v>
      </c>
      <c r="CN9" s="5" t="s">
        <v>30</v>
      </c>
      <c r="CO9" s="1" t="str">
        <f>IF(CO19="x","x",HLOOKUP(CO19,CO28:CR47,20,FALSE))</f>
        <v>^</v>
      </c>
      <c r="CP9" s="1" t="str">
        <f>IF(CP19="x","x",HLOOKUP(CP19,CO34:CR47,14,FALSE))</f>
        <v>&gt;</v>
      </c>
      <c r="CQ9" s="1" t="str">
        <f>IF(CQ19="x","x",HLOOKUP(CQ19,CO40:CR47,8,FALSE))</f>
        <v>&gt;</v>
      </c>
      <c r="CR9" s="1" t="str">
        <f>IF(CR19="x","x",HLOOKUP(CR19,CO46:CR47,2,FALSE))</f>
        <v>^</v>
      </c>
      <c r="CS9" s="5" t="s">
        <v>30</v>
      </c>
      <c r="CU9" s="5" t="s">
        <v>30</v>
      </c>
      <c r="CV9" s="1" t="str">
        <f>IF(CV19="x","x",HLOOKUP(CV19,CV28:CY47,20,FALSE))</f>
        <v>&gt;</v>
      </c>
      <c r="CW9" s="1" t="str">
        <f>IF(CW19="x","x",HLOOKUP(CW19,CV34:CY47,14,FALSE))</f>
        <v>&gt;</v>
      </c>
      <c r="CX9" s="1" t="str">
        <f>IF(CX19="x","x",HLOOKUP(CX19,CV40:CY47,8,FALSE))</f>
        <v>&gt;</v>
      </c>
      <c r="CY9" s="1" t="str">
        <f>IF(CY19="x","x",HLOOKUP(CY19,CV46:CY47,2,FALSE))</f>
        <v>^</v>
      </c>
      <c r="CZ9" s="5" t="s">
        <v>30</v>
      </c>
      <c r="DB9" s="5" t="s">
        <v>30</v>
      </c>
      <c r="DC9" s="1" t="str">
        <f>IF(DC19="x","x",HLOOKUP(DC19,DC28:DF47,20,FALSE))</f>
        <v>&gt;</v>
      </c>
      <c r="DD9" s="1" t="str">
        <f>IF(DD19="x","x",HLOOKUP(DD19,DC34:DF47,14,FALSE))</f>
        <v>&gt;</v>
      </c>
      <c r="DE9" s="1" t="str">
        <f>IF(DE19="x","x",HLOOKUP(DE19,DC40:DF47,8,FALSE))</f>
        <v>&gt;</v>
      </c>
      <c r="DF9" s="1" t="str">
        <f>IF(DF19="x","x",HLOOKUP(DF19,DC46:DF47,2,FALSE))</f>
        <v>^</v>
      </c>
      <c r="DG9" s="5" t="s">
        <v>30</v>
      </c>
    </row>
    <row r="10" spans="1:111" x14ac:dyDescent="0.25">
      <c r="H10" s="5" t="s">
        <v>30</v>
      </c>
      <c r="I10" s="5" t="s">
        <v>30</v>
      </c>
      <c r="J10" s="7" t="s">
        <v>30</v>
      </c>
      <c r="K10" s="5" t="s">
        <v>30</v>
      </c>
      <c r="L10" s="5" t="s">
        <v>30</v>
      </c>
      <c r="M10" s="5" t="s">
        <v>30</v>
      </c>
      <c r="O10" s="5" t="s">
        <v>30</v>
      </c>
      <c r="P10" s="5" t="s">
        <v>30</v>
      </c>
      <c r="Q10" s="7" t="s">
        <v>30</v>
      </c>
      <c r="R10" s="5" t="s">
        <v>30</v>
      </c>
      <c r="S10" s="5" t="s">
        <v>30</v>
      </c>
      <c r="T10" s="5" t="s">
        <v>30</v>
      </c>
      <c r="V10" s="5" t="s">
        <v>30</v>
      </c>
      <c r="W10" s="5" t="s">
        <v>30</v>
      </c>
      <c r="X10" s="7" t="s">
        <v>30</v>
      </c>
      <c r="Y10" s="5" t="s">
        <v>30</v>
      </c>
      <c r="Z10" s="5" t="s">
        <v>30</v>
      </c>
      <c r="AA10" s="5" t="s">
        <v>30</v>
      </c>
      <c r="AC10" s="5" t="s">
        <v>30</v>
      </c>
      <c r="AD10" s="5" t="s">
        <v>30</v>
      </c>
      <c r="AE10" s="7" t="s">
        <v>30</v>
      </c>
      <c r="AF10" s="5" t="s">
        <v>30</v>
      </c>
      <c r="AG10" s="5" t="s">
        <v>30</v>
      </c>
      <c r="AH10" s="5" t="s">
        <v>30</v>
      </c>
      <c r="AJ10" s="5" t="s">
        <v>30</v>
      </c>
      <c r="AK10" s="5" t="s">
        <v>30</v>
      </c>
      <c r="AL10" s="7" t="s">
        <v>30</v>
      </c>
      <c r="AM10" s="5" t="s">
        <v>30</v>
      </c>
      <c r="AN10" s="5" t="s">
        <v>30</v>
      </c>
      <c r="AO10" s="5" t="s">
        <v>30</v>
      </c>
      <c r="AQ10" s="5" t="s">
        <v>30</v>
      </c>
      <c r="AR10" s="5" t="s">
        <v>30</v>
      </c>
      <c r="AS10" s="7" t="s">
        <v>30</v>
      </c>
      <c r="AT10" s="5" t="s">
        <v>30</v>
      </c>
      <c r="AU10" s="5" t="s">
        <v>30</v>
      </c>
      <c r="AV10" s="5" t="s">
        <v>30</v>
      </c>
      <c r="AX10" s="5" t="s">
        <v>30</v>
      </c>
      <c r="AY10" s="5" t="s">
        <v>30</v>
      </c>
      <c r="AZ10" s="7" t="s">
        <v>30</v>
      </c>
      <c r="BA10" s="5" t="s">
        <v>30</v>
      </c>
      <c r="BB10" s="5" t="s">
        <v>30</v>
      </c>
      <c r="BC10" s="5" t="s">
        <v>30</v>
      </c>
      <c r="BE10" s="5" t="s">
        <v>30</v>
      </c>
      <c r="BF10" s="5" t="s">
        <v>30</v>
      </c>
      <c r="BG10" s="7" t="s">
        <v>30</v>
      </c>
      <c r="BH10" s="5" t="s">
        <v>30</v>
      </c>
      <c r="BI10" s="5" t="s">
        <v>30</v>
      </c>
      <c r="BJ10" s="5" t="s">
        <v>30</v>
      </c>
      <c r="BL10" s="5" t="s">
        <v>30</v>
      </c>
      <c r="BM10" s="5" t="s">
        <v>30</v>
      </c>
      <c r="BN10" s="7" t="s">
        <v>30</v>
      </c>
      <c r="BO10" s="5" t="s">
        <v>30</v>
      </c>
      <c r="BP10" s="5" t="s">
        <v>30</v>
      </c>
      <c r="BQ10" s="5" t="s">
        <v>30</v>
      </c>
      <c r="BS10" s="5" t="s">
        <v>30</v>
      </c>
      <c r="BT10" s="5" t="s">
        <v>30</v>
      </c>
      <c r="BU10" s="7" t="s">
        <v>30</v>
      </c>
      <c r="BV10" s="5" t="s">
        <v>30</v>
      </c>
      <c r="BW10" s="5" t="s">
        <v>30</v>
      </c>
      <c r="BX10" s="5" t="s">
        <v>30</v>
      </c>
      <c r="BZ10" s="5" t="s">
        <v>30</v>
      </c>
      <c r="CA10" s="5" t="s">
        <v>30</v>
      </c>
      <c r="CB10" s="7" t="s">
        <v>30</v>
      </c>
      <c r="CC10" s="5" t="s">
        <v>30</v>
      </c>
      <c r="CD10" s="5" t="s">
        <v>30</v>
      </c>
      <c r="CE10" s="5" t="s">
        <v>30</v>
      </c>
      <c r="CG10" s="5" t="s">
        <v>30</v>
      </c>
      <c r="CH10" s="5" t="s">
        <v>30</v>
      </c>
      <c r="CI10" s="7" t="s">
        <v>30</v>
      </c>
      <c r="CJ10" s="5" t="s">
        <v>30</v>
      </c>
      <c r="CK10" s="5" t="s">
        <v>30</v>
      </c>
      <c r="CL10" s="5" t="s">
        <v>30</v>
      </c>
      <c r="CN10" s="5" t="s">
        <v>30</v>
      </c>
      <c r="CO10" s="5" t="s">
        <v>30</v>
      </c>
      <c r="CP10" s="7" t="s">
        <v>30</v>
      </c>
      <c r="CQ10" s="5" t="s">
        <v>30</v>
      </c>
      <c r="CR10" s="5" t="s">
        <v>30</v>
      </c>
      <c r="CS10" s="5" t="s">
        <v>30</v>
      </c>
      <c r="CU10" s="5" t="s">
        <v>30</v>
      </c>
      <c r="CV10" s="5" t="s">
        <v>30</v>
      </c>
      <c r="CW10" s="7" t="s">
        <v>30</v>
      </c>
      <c r="CX10" s="5" t="s">
        <v>30</v>
      </c>
      <c r="CY10" s="5" t="s">
        <v>30</v>
      </c>
      <c r="CZ10" s="5" t="s">
        <v>30</v>
      </c>
      <c r="DB10" s="5" t="s">
        <v>30</v>
      </c>
      <c r="DC10" s="5" t="s">
        <v>30</v>
      </c>
      <c r="DD10" s="7" t="s">
        <v>30</v>
      </c>
      <c r="DE10" s="5" t="s">
        <v>30</v>
      </c>
      <c r="DF10" s="5" t="s">
        <v>30</v>
      </c>
      <c r="DG10" s="5" t="s">
        <v>30</v>
      </c>
    </row>
    <row r="12" spans="1:111" x14ac:dyDescent="0.25">
      <c r="A12" t="s">
        <v>16</v>
      </c>
      <c r="B12">
        <v>0</v>
      </c>
      <c r="H12" t="s">
        <v>16</v>
      </c>
      <c r="I12">
        <f>B12+1</f>
        <v>1</v>
      </c>
      <c r="O12" s="10" t="s">
        <v>16</v>
      </c>
      <c r="P12">
        <f>I12+1</f>
        <v>2</v>
      </c>
      <c r="V12" s="10" t="s">
        <v>16</v>
      </c>
      <c r="W12">
        <f>P12+1</f>
        <v>3</v>
      </c>
      <c r="AC12" s="10" t="s">
        <v>16</v>
      </c>
      <c r="AD12">
        <f>W12+1</f>
        <v>4</v>
      </c>
      <c r="AJ12" s="10" t="s">
        <v>16</v>
      </c>
      <c r="AK12">
        <f>AD12+1</f>
        <v>5</v>
      </c>
      <c r="AQ12" s="10" t="s">
        <v>16</v>
      </c>
      <c r="AR12">
        <f>AK12+1</f>
        <v>6</v>
      </c>
      <c r="AX12" s="10" t="s">
        <v>16</v>
      </c>
      <c r="AY12">
        <f>AR12+1</f>
        <v>7</v>
      </c>
      <c r="BE12" s="10" t="s">
        <v>16</v>
      </c>
      <c r="BF12">
        <f>AY12+1</f>
        <v>8</v>
      </c>
      <c r="BL12" s="10" t="s">
        <v>16</v>
      </c>
      <c r="BM12">
        <f>BF12+1</f>
        <v>9</v>
      </c>
      <c r="BS12" s="10" t="s">
        <v>16</v>
      </c>
      <c r="BT12">
        <f>BM12+1</f>
        <v>10</v>
      </c>
      <c r="BZ12" s="10" t="s">
        <v>16</v>
      </c>
      <c r="CA12">
        <f>BT12+1</f>
        <v>11</v>
      </c>
      <c r="CG12" s="10" t="s">
        <v>16</v>
      </c>
      <c r="CH12">
        <f>CA12+1</f>
        <v>12</v>
      </c>
      <c r="CN12" s="10" t="s">
        <v>16</v>
      </c>
      <c r="CO12">
        <f>CH12+1</f>
        <v>13</v>
      </c>
      <c r="CU12" s="10" t="s">
        <v>16</v>
      </c>
      <c r="CV12">
        <f>CO12+1</f>
        <v>14</v>
      </c>
      <c r="DB12" s="10" t="s">
        <v>16</v>
      </c>
      <c r="DC12">
        <f>CV12+1</f>
        <v>15</v>
      </c>
    </row>
    <row r="13" spans="1:111" x14ac:dyDescent="0.25">
      <c r="A13" s="5" t="s">
        <v>30</v>
      </c>
      <c r="B13" s="5" t="s">
        <v>30</v>
      </c>
      <c r="C13" s="5" t="s">
        <v>30</v>
      </c>
      <c r="D13" s="5" t="s">
        <v>30</v>
      </c>
      <c r="E13" s="5" t="s">
        <v>30</v>
      </c>
      <c r="F13" s="5" t="s">
        <v>30</v>
      </c>
      <c r="H13" s="5" t="s">
        <v>30</v>
      </c>
      <c r="I13" s="5" t="s">
        <v>30</v>
      </c>
      <c r="J13" s="5" t="s">
        <v>30</v>
      </c>
      <c r="K13" s="5" t="s">
        <v>30</v>
      </c>
      <c r="L13" s="5" t="s">
        <v>30</v>
      </c>
      <c r="M13" s="5" t="s">
        <v>30</v>
      </c>
      <c r="O13" s="5" t="s">
        <v>30</v>
      </c>
      <c r="P13" s="5" t="s">
        <v>30</v>
      </c>
      <c r="Q13" s="5" t="s">
        <v>30</v>
      </c>
      <c r="R13" s="5" t="s">
        <v>30</v>
      </c>
      <c r="S13" s="5" t="s">
        <v>30</v>
      </c>
      <c r="T13" s="5" t="s">
        <v>30</v>
      </c>
      <c r="V13" s="5" t="s">
        <v>30</v>
      </c>
      <c r="W13" s="5" t="s">
        <v>30</v>
      </c>
      <c r="X13" s="5" t="s">
        <v>30</v>
      </c>
      <c r="Y13" s="5" t="s">
        <v>30</v>
      </c>
      <c r="Z13" s="5" t="s">
        <v>30</v>
      </c>
      <c r="AA13" s="5" t="s">
        <v>30</v>
      </c>
      <c r="AC13" s="5" t="s">
        <v>30</v>
      </c>
      <c r="AD13" s="5" t="s">
        <v>30</v>
      </c>
      <c r="AE13" s="5" t="s">
        <v>30</v>
      </c>
      <c r="AF13" s="5" t="s">
        <v>30</v>
      </c>
      <c r="AG13" s="5" t="s">
        <v>30</v>
      </c>
      <c r="AH13" s="5" t="s">
        <v>30</v>
      </c>
      <c r="AJ13" s="5" t="s">
        <v>30</v>
      </c>
      <c r="AK13" s="5" t="s">
        <v>30</v>
      </c>
      <c r="AL13" s="5" t="s">
        <v>30</v>
      </c>
      <c r="AM13" s="5" t="s">
        <v>30</v>
      </c>
      <c r="AN13" s="5" t="s">
        <v>30</v>
      </c>
      <c r="AO13" s="5" t="s">
        <v>30</v>
      </c>
      <c r="AQ13" s="5" t="s">
        <v>30</v>
      </c>
      <c r="AR13" s="5" t="s">
        <v>30</v>
      </c>
      <c r="AS13" s="5" t="s">
        <v>30</v>
      </c>
      <c r="AT13" s="5" t="s">
        <v>30</v>
      </c>
      <c r="AU13" s="5" t="s">
        <v>30</v>
      </c>
      <c r="AV13" s="5" t="s">
        <v>30</v>
      </c>
      <c r="AX13" s="5" t="s">
        <v>30</v>
      </c>
      <c r="AY13" s="5" t="s">
        <v>30</v>
      </c>
      <c r="AZ13" s="5" t="s">
        <v>30</v>
      </c>
      <c r="BA13" s="5" t="s">
        <v>30</v>
      </c>
      <c r="BB13" s="5" t="s">
        <v>30</v>
      </c>
      <c r="BC13" s="5" t="s">
        <v>30</v>
      </c>
      <c r="BE13" s="5" t="s">
        <v>30</v>
      </c>
      <c r="BF13" s="5" t="s">
        <v>30</v>
      </c>
      <c r="BG13" s="5" t="s">
        <v>30</v>
      </c>
      <c r="BH13" s="5" t="s">
        <v>30</v>
      </c>
      <c r="BI13" s="5" t="s">
        <v>30</v>
      </c>
      <c r="BJ13" s="5" t="s">
        <v>30</v>
      </c>
      <c r="BL13" s="5" t="s">
        <v>30</v>
      </c>
      <c r="BM13" s="5" t="s">
        <v>30</v>
      </c>
      <c r="BN13" s="5" t="s">
        <v>30</v>
      </c>
      <c r="BO13" s="5" t="s">
        <v>30</v>
      </c>
      <c r="BP13" s="5" t="s">
        <v>30</v>
      </c>
      <c r="BQ13" s="5" t="s">
        <v>30</v>
      </c>
      <c r="BS13" s="5" t="s">
        <v>30</v>
      </c>
      <c r="BT13" s="5" t="s">
        <v>30</v>
      </c>
      <c r="BU13" s="5" t="s">
        <v>30</v>
      </c>
      <c r="BV13" s="5" t="s">
        <v>30</v>
      </c>
      <c r="BW13" s="5" t="s">
        <v>30</v>
      </c>
      <c r="BX13" s="5" t="s">
        <v>30</v>
      </c>
      <c r="BZ13" s="5" t="s">
        <v>30</v>
      </c>
      <c r="CA13" s="5" t="s">
        <v>30</v>
      </c>
      <c r="CB13" s="5" t="s">
        <v>30</v>
      </c>
      <c r="CC13" s="5" t="s">
        <v>30</v>
      </c>
      <c r="CD13" s="5" t="s">
        <v>30</v>
      </c>
      <c r="CE13" s="5" t="s">
        <v>30</v>
      </c>
      <c r="CG13" s="5" t="s">
        <v>30</v>
      </c>
      <c r="CH13" s="5" t="s">
        <v>30</v>
      </c>
      <c r="CI13" s="5" t="s">
        <v>30</v>
      </c>
      <c r="CJ13" s="5" t="s">
        <v>30</v>
      </c>
      <c r="CK13" s="5" t="s">
        <v>30</v>
      </c>
      <c r="CL13" s="5" t="s">
        <v>30</v>
      </c>
      <c r="CN13" s="5" t="s">
        <v>30</v>
      </c>
      <c r="CO13" s="5" t="s">
        <v>30</v>
      </c>
      <c r="CP13" s="5" t="s">
        <v>30</v>
      </c>
      <c r="CQ13" s="5" t="s">
        <v>30</v>
      </c>
      <c r="CR13" s="5" t="s">
        <v>30</v>
      </c>
      <c r="CS13" s="5" t="s">
        <v>30</v>
      </c>
      <c r="CU13" s="5" t="s">
        <v>30</v>
      </c>
      <c r="CV13" s="5" t="s">
        <v>30</v>
      </c>
      <c r="CW13" s="5" t="s">
        <v>30</v>
      </c>
      <c r="CX13" s="5" t="s">
        <v>30</v>
      </c>
      <c r="CY13" s="5" t="s">
        <v>30</v>
      </c>
      <c r="CZ13" s="5" t="s">
        <v>30</v>
      </c>
      <c r="DB13" s="5" t="s">
        <v>30</v>
      </c>
      <c r="DC13" s="5" t="s">
        <v>30</v>
      </c>
      <c r="DD13" s="5" t="s">
        <v>30</v>
      </c>
      <c r="DE13" s="5" t="s">
        <v>30</v>
      </c>
      <c r="DF13" s="5" t="s">
        <v>30</v>
      </c>
      <c r="DG13" s="5" t="s">
        <v>30</v>
      </c>
    </row>
    <row r="14" spans="1:111" x14ac:dyDescent="0.25">
      <c r="A14" s="5" t="s">
        <v>30</v>
      </c>
      <c r="B14" s="1" t="s">
        <v>30</v>
      </c>
      <c r="C14" s="1" t="s">
        <v>30</v>
      </c>
      <c r="D14" s="1" t="s">
        <v>30</v>
      </c>
      <c r="E14" s="2">
        <v>1</v>
      </c>
      <c r="F14" s="5" t="s">
        <v>30</v>
      </c>
      <c r="H14" s="5" t="s">
        <v>30</v>
      </c>
      <c r="I14" s="1" t="str">
        <f t="shared" ref="I14:I19" si="0">IF(B14="x","x",MAX(I23:L23))</f>
        <v>x</v>
      </c>
      <c r="J14" s="1" t="str">
        <f t="shared" ref="J14:J19" si="1">IF(C14="x","x",MAX(I29:L29))</f>
        <v>x</v>
      </c>
      <c r="K14" s="1" t="str">
        <f t="shared" ref="K14:K19" si="2">IF(D14="x","x",MAX(I35:L35))</f>
        <v>x</v>
      </c>
      <c r="L14" s="2">
        <v>1</v>
      </c>
      <c r="M14" s="5" t="s">
        <v>30</v>
      </c>
      <c r="O14" s="5" t="s">
        <v>30</v>
      </c>
      <c r="P14" s="1" t="str">
        <f t="shared" ref="P14:P19" si="3">IF(I14="x","x",MAX(P23:S23))</f>
        <v>x</v>
      </c>
      <c r="Q14" s="1" t="str">
        <f t="shared" ref="Q14:Q19" si="4">IF(J14="x","x",MAX(P29:S29))</f>
        <v>x</v>
      </c>
      <c r="R14" s="1" t="str">
        <f t="shared" ref="R14:R19" si="5">IF(K14="x","x",MAX(P35:S35))</f>
        <v>x</v>
      </c>
      <c r="S14" s="2">
        <v>1</v>
      </c>
      <c r="T14" s="5" t="s">
        <v>30</v>
      </c>
      <c r="V14" s="5" t="s">
        <v>30</v>
      </c>
      <c r="W14" s="1" t="str">
        <f t="shared" ref="W14:W19" si="6">IF(P14="x","x",MAX(W23:Z23))</f>
        <v>x</v>
      </c>
      <c r="X14" s="1" t="str">
        <f t="shared" ref="X14:X19" si="7">IF(Q14="x","x",MAX(W29:Z29))</f>
        <v>x</v>
      </c>
      <c r="Y14" s="1" t="str">
        <f t="shared" ref="Y14:Y19" si="8">IF(R14="x","x",MAX(W35:Z35))</f>
        <v>x</v>
      </c>
      <c r="Z14" s="2">
        <v>1</v>
      </c>
      <c r="AA14" s="5" t="s">
        <v>30</v>
      </c>
      <c r="AC14" s="5" t="s">
        <v>30</v>
      </c>
      <c r="AD14" s="1" t="str">
        <f t="shared" ref="AD14:AD19" si="9">IF(W14="x","x",MAX(AD23:AG23))</f>
        <v>x</v>
      </c>
      <c r="AE14" s="1" t="str">
        <f t="shared" ref="AE14:AE19" si="10">IF(X14="x","x",MAX(AD29:AG29))</f>
        <v>x</v>
      </c>
      <c r="AF14" s="1" t="str">
        <f t="shared" ref="AF14:AF19" si="11">IF(Y14="x","x",MAX(AD35:AG35))</f>
        <v>x</v>
      </c>
      <c r="AG14" s="2">
        <v>1</v>
      </c>
      <c r="AH14" s="5" t="s">
        <v>30</v>
      </c>
      <c r="AJ14" s="5" t="s">
        <v>30</v>
      </c>
      <c r="AK14" s="1" t="str">
        <f t="shared" ref="AK14:AK19" si="12">IF(AD14="x","x",MAX(AK23:AN23))</f>
        <v>x</v>
      </c>
      <c r="AL14" s="1" t="str">
        <f t="shared" ref="AL14:AL19" si="13">IF(AE14="x","x",MAX(AK29:AN29))</f>
        <v>x</v>
      </c>
      <c r="AM14" s="1" t="str">
        <f t="shared" ref="AM14:AM19" si="14">IF(AF14="x","x",MAX(AK35:AN35))</f>
        <v>x</v>
      </c>
      <c r="AN14" s="2">
        <v>1</v>
      </c>
      <c r="AO14" s="5" t="s">
        <v>30</v>
      </c>
      <c r="AQ14" s="5" t="s">
        <v>30</v>
      </c>
      <c r="AR14" s="1" t="str">
        <f t="shared" ref="AR14:AR19" si="15">IF(AK14="x","x",MAX(AR23:AU23))</f>
        <v>x</v>
      </c>
      <c r="AS14" s="1" t="str">
        <f t="shared" ref="AS14:AS19" si="16">IF(AL14="x","x",MAX(AR29:AU29))</f>
        <v>x</v>
      </c>
      <c r="AT14" s="1" t="str">
        <f t="shared" ref="AT14:AT19" si="17">IF(AM14="x","x",MAX(AR35:AU35))</f>
        <v>x</v>
      </c>
      <c r="AU14" s="2">
        <v>1</v>
      </c>
      <c r="AV14" s="5" t="s">
        <v>30</v>
      </c>
      <c r="AX14" s="5" t="s">
        <v>30</v>
      </c>
      <c r="AY14" s="1" t="str">
        <f t="shared" ref="AY14:AY19" si="18">IF(AR14="x","x",MAX(AY23:BB23))</f>
        <v>x</v>
      </c>
      <c r="AZ14" s="1" t="str">
        <f t="shared" ref="AZ14:AZ19" si="19">IF(AS14="x","x",MAX(AY29:BB29))</f>
        <v>x</v>
      </c>
      <c r="BA14" s="1" t="str">
        <f t="shared" ref="BA14:BA19" si="20">IF(AT14="x","x",MAX(AY35:BB35))</f>
        <v>x</v>
      </c>
      <c r="BB14" s="2">
        <v>1</v>
      </c>
      <c r="BC14" s="5" t="s">
        <v>30</v>
      </c>
      <c r="BE14" s="5" t="s">
        <v>30</v>
      </c>
      <c r="BF14" s="1" t="str">
        <f t="shared" ref="BF14:BF19" si="21">IF(AY14="x","x",MAX(BF23:BI23))</f>
        <v>x</v>
      </c>
      <c r="BG14" s="1" t="str">
        <f t="shared" ref="BG14:BG19" si="22">IF(AZ14="x","x",MAX(BF29:BI29))</f>
        <v>x</v>
      </c>
      <c r="BH14" s="1" t="str">
        <f t="shared" ref="BH14:BH19" si="23">IF(BA14="x","x",MAX(BF35:BI35))</f>
        <v>x</v>
      </c>
      <c r="BI14" s="2">
        <v>1</v>
      </c>
      <c r="BJ14" s="5" t="s">
        <v>30</v>
      </c>
      <c r="BL14" s="5" t="s">
        <v>30</v>
      </c>
      <c r="BM14" s="1" t="str">
        <f t="shared" ref="BM14:BM19" si="24">IF(BF14="x","x",MAX(BM23:BP23))</f>
        <v>x</v>
      </c>
      <c r="BN14" s="1" t="str">
        <f t="shared" ref="BN14:BN19" si="25">IF(BG14="x","x",MAX(BM29:BP29))</f>
        <v>x</v>
      </c>
      <c r="BO14" s="1" t="str">
        <f t="shared" ref="BO14:BO19" si="26">IF(BH14="x","x",MAX(BM35:BP35))</f>
        <v>x</v>
      </c>
      <c r="BP14" s="2">
        <v>1</v>
      </c>
      <c r="BQ14" s="5" t="s">
        <v>30</v>
      </c>
      <c r="BS14" s="5" t="s">
        <v>30</v>
      </c>
      <c r="BT14" s="1" t="str">
        <f t="shared" ref="BT14:BT19" si="27">IF(BM14="x","x",MAX(BT23:BW23))</f>
        <v>x</v>
      </c>
      <c r="BU14" s="1" t="str">
        <f t="shared" ref="BU14:BU19" si="28">IF(BN14="x","x",MAX(BT29:BW29))</f>
        <v>x</v>
      </c>
      <c r="BV14" s="1" t="str">
        <f t="shared" ref="BV14:BV19" si="29">IF(BO14="x","x",MAX(BT35:BW35))</f>
        <v>x</v>
      </c>
      <c r="BW14" s="2">
        <v>1</v>
      </c>
      <c r="BX14" s="5" t="s">
        <v>30</v>
      </c>
      <c r="BZ14" s="5" t="s">
        <v>30</v>
      </c>
      <c r="CA14" s="1" t="str">
        <f t="shared" ref="CA14:CA19" si="30">IF(BT14="x","x",MAX(CA23:CD23))</f>
        <v>x</v>
      </c>
      <c r="CB14" s="1" t="str">
        <f t="shared" ref="CB14:CB19" si="31">IF(BU14="x","x",MAX(CA29:CD29))</f>
        <v>x</v>
      </c>
      <c r="CC14" s="1" t="str">
        <f t="shared" ref="CC14:CC19" si="32">IF(BV14="x","x",MAX(CA35:CD35))</f>
        <v>x</v>
      </c>
      <c r="CD14" s="2">
        <v>1</v>
      </c>
      <c r="CE14" s="5" t="s">
        <v>30</v>
      </c>
      <c r="CG14" s="5" t="s">
        <v>30</v>
      </c>
      <c r="CH14" s="1" t="str">
        <f t="shared" ref="CH14:CH19" si="33">IF(CA14="x","x",MAX(CH23:CK23))</f>
        <v>x</v>
      </c>
      <c r="CI14" s="1" t="str">
        <f t="shared" ref="CI14:CI19" si="34">IF(CB14="x","x",MAX(CH29:CK29))</f>
        <v>x</v>
      </c>
      <c r="CJ14" s="1" t="str">
        <f t="shared" ref="CJ14:CJ19" si="35">IF(CC14="x","x",MAX(CH35:CK35))</f>
        <v>x</v>
      </c>
      <c r="CK14" s="2">
        <v>1</v>
      </c>
      <c r="CL14" s="5" t="s">
        <v>30</v>
      </c>
      <c r="CN14" s="5" t="s">
        <v>30</v>
      </c>
      <c r="CO14" s="1" t="str">
        <f t="shared" ref="CO14:CO19" si="36">IF(CH14="x","x",MAX(CO23:CR23))</f>
        <v>x</v>
      </c>
      <c r="CP14" s="1" t="str">
        <f t="shared" ref="CP14:CP19" si="37">IF(CI14="x","x",MAX(CO29:CR29))</f>
        <v>x</v>
      </c>
      <c r="CQ14" s="1" t="str">
        <f t="shared" ref="CQ14:CQ19" si="38">IF(CJ14="x","x",MAX(CO35:CR35))</f>
        <v>x</v>
      </c>
      <c r="CR14" s="2">
        <v>1</v>
      </c>
      <c r="CS14" s="5" t="s">
        <v>30</v>
      </c>
      <c r="CU14" s="5" t="s">
        <v>30</v>
      </c>
      <c r="CV14" s="1" t="str">
        <f t="shared" ref="CV14:CV19" si="39">IF(CO14="x","x",MAX(CV23:CY23))</f>
        <v>x</v>
      </c>
      <c r="CW14" s="1" t="str">
        <f t="shared" ref="CW14:CW19" si="40">IF(CP14="x","x",MAX(CV29:CY29))</f>
        <v>x</v>
      </c>
      <c r="CX14" s="1" t="str">
        <f t="shared" ref="CX14:CX19" si="41">IF(CQ14="x","x",MAX(CV35:CY35))</f>
        <v>x</v>
      </c>
      <c r="CY14" s="2">
        <v>1</v>
      </c>
      <c r="CZ14" s="5" t="s">
        <v>30</v>
      </c>
      <c r="DB14" s="5" t="s">
        <v>30</v>
      </c>
      <c r="DC14" s="1" t="str">
        <f t="shared" ref="DC14:DC19" si="42">IF(CV14="x","x",MAX(DC23:DF23))</f>
        <v>x</v>
      </c>
      <c r="DD14" s="1" t="str">
        <f t="shared" ref="DD14:DD19" si="43">IF(CW14="x","x",MAX(DC29:DF29))</f>
        <v>x</v>
      </c>
      <c r="DE14" s="1" t="str">
        <f t="shared" ref="DE14:DE19" si="44">IF(CX14="x","x",MAX(DC35:DF35))</f>
        <v>x</v>
      </c>
      <c r="DF14" s="2">
        <v>1</v>
      </c>
      <c r="DG14" s="5" t="s">
        <v>30</v>
      </c>
    </row>
    <row r="15" spans="1:111" x14ac:dyDescent="0.25">
      <c r="A15" s="5" t="s">
        <v>30</v>
      </c>
      <c r="B15" s="1">
        <v>0</v>
      </c>
      <c r="C15" s="8">
        <v>0</v>
      </c>
      <c r="D15" s="8">
        <v>0</v>
      </c>
      <c r="E15" s="8">
        <v>0</v>
      </c>
      <c r="F15" s="6" t="s">
        <v>30</v>
      </c>
      <c r="H15" s="5" t="s">
        <v>30</v>
      </c>
      <c r="I15" s="1">
        <f t="shared" si="0"/>
        <v>-0.99</v>
      </c>
      <c r="J15" s="8">
        <f t="shared" si="1"/>
        <v>-0.99</v>
      </c>
      <c r="K15" s="8">
        <f t="shared" si="2"/>
        <v>-0.99</v>
      </c>
      <c r="L15" s="1">
        <f>IF(E15="x","x",MAX(I42:L42))</f>
        <v>-0.18999999999999995</v>
      </c>
      <c r="M15" s="6" t="s">
        <v>30</v>
      </c>
      <c r="O15" s="5" t="s">
        <v>30</v>
      </c>
      <c r="P15" s="1">
        <f t="shared" si="3"/>
        <v>-1.98</v>
      </c>
      <c r="Q15" s="8">
        <f t="shared" si="4"/>
        <v>-1.98</v>
      </c>
      <c r="R15" s="8">
        <f t="shared" si="5"/>
        <v>-1.3399999999999999</v>
      </c>
      <c r="S15" s="1">
        <f>IF(L15="x","x",MAX(P42:S42))</f>
        <v>-0.30799999999999994</v>
      </c>
      <c r="T15" s="6" t="s">
        <v>30</v>
      </c>
      <c r="V15" s="5" t="s">
        <v>30</v>
      </c>
      <c r="W15" s="1">
        <f t="shared" si="6"/>
        <v>-2.9699999999999998</v>
      </c>
      <c r="X15" s="8">
        <f t="shared" si="7"/>
        <v>-2.4579999999999997</v>
      </c>
      <c r="Y15" s="8">
        <f t="shared" si="8"/>
        <v>-1.5044</v>
      </c>
      <c r="Z15" s="1">
        <f>IF(S15="x","x",MAX(W42:Z42))</f>
        <v>-0.3548</v>
      </c>
      <c r="AA15" s="6" t="s">
        <v>30</v>
      </c>
      <c r="AC15" s="5" t="s">
        <v>30</v>
      </c>
      <c r="AD15" s="1">
        <f t="shared" si="9"/>
        <v>-3.5503999999999998</v>
      </c>
      <c r="AE15" s="8">
        <f t="shared" si="10"/>
        <v>-2.6851200000000004</v>
      </c>
      <c r="AF15" s="8">
        <f t="shared" si="11"/>
        <v>-1.5747200000000001</v>
      </c>
      <c r="AG15" s="1">
        <f>IF(Z15="x","x",MAX(AD42:AG42))</f>
        <v>-0.37591999999999992</v>
      </c>
      <c r="AH15" s="6" t="s">
        <v>30</v>
      </c>
      <c r="AJ15" s="5" t="s">
        <v>30</v>
      </c>
      <c r="AK15" s="1">
        <f t="shared" si="12"/>
        <v>-3.8891360000000006</v>
      </c>
      <c r="AL15" s="8">
        <f t="shared" si="13"/>
        <v>-2.7868000000000004</v>
      </c>
      <c r="AM15" s="8">
        <f t="shared" si="14"/>
        <v>-1.60568</v>
      </c>
      <c r="AN15" s="1">
        <f>IF(AG15="x","x",MAX(AK42:AN42))</f>
        <v>-0.38506399999999996</v>
      </c>
      <c r="AO15" s="6" t="s">
        <v>30</v>
      </c>
      <c r="AQ15" s="5" t="s">
        <v>30</v>
      </c>
      <c r="AR15" s="1">
        <f t="shared" si="15"/>
        <v>-4.0705856000000002</v>
      </c>
      <c r="AS15" s="8">
        <f t="shared" si="16"/>
        <v>-2.8319040000000002</v>
      </c>
      <c r="AT15" s="8">
        <f t="shared" si="17"/>
        <v>-1.6191872</v>
      </c>
      <c r="AU15" s="1">
        <f>IF(AN15="x","x",MAX(AR42:AU42))</f>
        <v>-0.38907439999999993</v>
      </c>
      <c r="AV15" s="6" t="s">
        <v>30</v>
      </c>
      <c r="AX15" s="5" t="s">
        <v>30</v>
      </c>
      <c r="AY15" s="1">
        <f t="shared" si="18"/>
        <v>-4.1651590399999998</v>
      </c>
      <c r="AZ15" s="8">
        <f t="shared" si="19"/>
        <v>-2.85173056</v>
      </c>
      <c r="BA15" s="8">
        <f t="shared" si="20"/>
        <v>-1.62509696</v>
      </c>
      <c r="BB15" s="1">
        <f>IF(AU15="x","x",MAX(AY42:BB42))</f>
        <v>-0.39082616000000003</v>
      </c>
      <c r="BC15" s="6" t="s">
        <v>30</v>
      </c>
      <c r="BE15" s="5" t="s">
        <v>30</v>
      </c>
      <c r="BF15" s="1">
        <f t="shared" si="21"/>
        <v>-4.2130626560000008</v>
      </c>
      <c r="BG15" s="8">
        <f t="shared" si="22"/>
        <v>-2.8604236800000002</v>
      </c>
      <c r="BH15" s="8">
        <f t="shared" si="23"/>
        <v>-1.6276803200000001</v>
      </c>
      <c r="BI15" s="1">
        <f>IF(BB15="x","x",MAX(BF42:BI42))</f>
        <v>-0.39159231199999989</v>
      </c>
      <c r="BJ15" s="6" t="s">
        <v>30</v>
      </c>
      <c r="BL15" s="5" t="s">
        <v>30</v>
      </c>
      <c r="BM15" s="1">
        <f t="shared" si="24"/>
        <v>-4.2368903936000004</v>
      </c>
      <c r="BN15" s="8">
        <f t="shared" si="25"/>
        <v>-2.8642289920000001</v>
      </c>
      <c r="BO15" s="8">
        <f t="shared" si="26"/>
        <v>-1.6288099136</v>
      </c>
      <c r="BP15" s="1">
        <f>IF(BI15="x","x",MAX(BM42:BP42))</f>
        <v>-0.39192726319999993</v>
      </c>
      <c r="BQ15" s="6" t="s">
        <v>30</v>
      </c>
      <c r="BS15" s="5" t="s">
        <v>30</v>
      </c>
      <c r="BT15" s="1">
        <f t="shared" si="27"/>
        <v>-4.2485662822400005</v>
      </c>
      <c r="BU15" s="8">
        <f t="shared" si="28"/>
        <v>-2.8658937292799997</v>
      </c>
      <c r="BV15" s="8">
        <f t="shared" si="29"/>
        <v>-1.6293037932800001</v>
      </c>
      <c r="BW15" s="1">
        <f>IF(BP15="x","x",MAX(BT42:BW42))</f>
        <v>-0.39207371767999999</v>
      </c>
      <c r="BX15" s="6" t="s">
        <v>30</v>
      </c>
      <c r="BZ15" s="5" t="s">
        <v>30</v>
      </c>
      <c r="CA15" s="1">
        <f t="shared" si="30"/>
        <v>-4.2542216529920003</v>
      </c>
      <c r="CB15" s="8">
        <f t="shared" si="31"/>
        <v>-2.86662178048</v>
      </c>
      <c r="CC15" s="8">
        <f t="shared" si="32"/>
        <v>-1.6295197328</v>
      </c>
      <c r="CD15" s="1">
        <f>IF(BW15="x","x",MAX(CA42:CD42))</f>
        <v>-0.39213775109600002</v>
      </c>
      <c r="CE15" s="6" t="s">
        <v>30</v>
      </c>
      <c r="CG15" s="5" t="s">
        <v>30</v>
      </c>
      <c r="CH15" s="1">
        <f t="shared" si="33"/>
        <v>-4.2569349005312001</v>
      </c>
      <c r="CI15" s="8">
        <f t="shared" si="34"/>
        <v>-2.8669401423360004</v>
      </c>
      <c r="CJ15" s="8">
        <f t="shared" si="35"/>
        <v>-1.6296141474368</v>
      </c>
      <c r="CK15" s="1">
        <f>IF(CD15="x","x",MAX(CH42:CK42))</f>
        <v>-0.39216574838959994</v>
      </c>
      <c r="CL15" s="6" t="s">
        <v>30</v>
      </c>
      <c r="CN15" s="5" t="s">
        <v>30</v>
      </c>
      <c r="CO15" s="1">
        <f t="shared" si="36"/>
        <v>-4.2582263983308808</v>
      </c>
      <c r="CP15" s="8">
        <f t="shared" si="37"/>
        <v>-2.8670793464166402</v>
      </c>
      <c r="CQ15" s="8">
        <f t="shared" si="38"/>
        <v>-1.6296554281990399</v>
      </c>
      <c r="CR15" s="1">
        <f>IF(CK15="x","x",MAX(CO42:CR42))</f>
        <v>-0.39217798958263994</v>
      </c>
      <c r="CS15" s="6" t="s">
        <v>30</v>
      </c>
      <c r="CU15" s="5" t="s">
        <v>30</v>
      </c>
      <c r="CV15" s="1">
        <f t="shared" si="39"/>
        <v>-4.2588370678906884</v>
      </c>
      <c r="CW15" s="8">
        <f t="shared" si="40"/>
        <v>-2.8671402118425604</v>
      </c>
      <c r="CX15" s="8">
        <f t="shared" si="41"/>
        <v>-1.62967347730592</v>
      </c>
      <c r="CY15" s="1">
        <f>IF(CR15="x","x",MAX(CV42:CY42))</f>
        <v>-0.39218334177816794</v>
      </c>
      <c r="CZ15" s="6" t="s">
        <v>30</v>
      </c>
      <c r="DB15" s="5" t="s">
        <v>30</v>
      </c>
      <c r="DC15" s="1">
        <f t="shared" si="42"/>
        <v>-4.2591241783144458</v>
      </c>
      <c r="DD15" s="8">
        <f t="shared" si="43"/>
        <v>-2.867166824213248</v>
      </c>
      <c r="DE15" s="8">
        <f t="shared" si="44"/>
        <v>-1.6296813688837184</v>
      </c>
      <c r="DF15" s="1">
        <f>IF(CY15="x","x",MAX(DC42:DF42))</f>
        <v>-0.39218568190840875</v>
      </c>
      <c r="DG15" s="6" t="s">
        <v>30</v>
      </c>
    </row>
    <row r="16" spans="1:111" x14ac:dyDescent="0.25">
      <c r="A16" s="5" t="s">
        <v>30</v>
      </c>
      <c r="B16" s="8">
        <v>0</v>
      </c>
      <c r="C16" s="8" t="s">
        <v>30</v>
      </c>
      <c r="D16" s="1" t="s">
        <v>30</v>
      </c>
      <c r="E16" s="1" t="s">
        <v>30</v>
      </c>
      <c r="F16" s="5" t="s">
        <v>30</v>
      </c>
      <c r="H16" s="5" t="s">
        <v>30</v>
      </c>
      <c r="I16" s="1">
        <f t="shared" si="0"/>
        <v>-0.99</v>
      </c>
      <c r="J16" s="8" t="str">
        <f t="shared" si="1"/>
        <v>x</v>
      </c>
      <c r="K16" s="1" t="str">
        <f t="shared" si="2"/>
        <v>x</v>
      </c>
      <c r="L16" s="1" t="str">
        <f>IF(E16="x","x",MAX(I43:L43))</f>
        <v>x</v>
      </c>
      <c r="M16" s="5" t="s">
        <v>30</v>
      </c>
      <c r="O16" s="5" t="s">
        <v>30</v>
      </c>
      <c r="P16" s="1">
        <f t="shared" si="3"/>
        <v>-1.98</v>
      </c>
      <c r="Q16" s="8" t="str">
        <f t="shared" si="4"/>
        <v>x</v>
      </c>
      <c r="R16" s="1" t="str">
        <f t="shared" si="5"/>
        <v>x</v>
      </c>
      <c r="S16" s="1" t="str">
        <f>IF(L16="x","x",MAX(P43:S43))</f>
        <v>x</v>
      </c>
      <c r="T16" s="5" t="s">
        <v>30</v>
      </c>
      <c r="V16" s="5" t="s">
        <v>30</v>
      </c>
      <c r="W16" s="1">
        <f t="shared" si="6"/>
        <v>-2.9699999999999998</v>
      </c>
      <c r="X16" s="8" t="str">
        <f t="shared" si="7"/>
        <v>x</v>
      </c>
      <c r="Y16" s="1" t="str">
        <f t="shared" si="8"/>
        <v>x</v>
      </c>
      <c r="Z16" s="1" t="str">
        <f>IF(S16="x","x",MAX(W43:Z43))</f>
        <v>x</v>
      </c>
      <c r="AA16" s="5" t="s">
        <v>30</v>
      </c>
      <c r="AC16" s="5" t="s">
        <v>30</v>
      </c>
      <c r="AD16" s="1">
        <f t="shared" si="9"/>
        <v>-3.96</v>
      </c>
      <c r="AE16" s="8" t="str">
        <f t="shared" si="10"/>
        <v>x</v>
      </c>
      <c r="AF16" s="1" t="str">
        <f t="shared" si="11"/>
        <v>x</v>
      </c>
      <c r="AG16" s="1" t="str">
        <f>IF(Z16="x","x",MAX(AD43:AG43))</f>
        <v>x</v>
      </c>
      <c r="AH16" s="5" t="s">
        <v>30</v>
      </c>
      <c r="AJ16" s="5" t="s">
        <v>30</v>
      </c>
      <c r="AK16" s="1">
        <f t="shared" si="12"/>
        <v>-4.6223200000000002</v>
      </c>
      <c r="AL16" s="8" t="str">
        <f t="shared" si="13"/>
        <v>x</v>
      </c>
      <c r="AM16" s="1" t="str">
        <f t="shared" si="14"/>
        <v>x</v>
      </c>
      <c r="AN16" s="1" t="str">
        <f>IF(AG16="x","x",MAX(AK43:AN43))</f>
        <v>x</v>
      </c>
      <c r="AO16" s="5" t="s">
        <v>30</v>
      </c>
      <c r="AQ16" s="5" t="s">
        <v>30</v>
      </c>
      <c r="AR16" s="1">
        <f t="shared" si="15"/>
        <v>-5.0257728000000013</v>
      </c>
      <c r="AS16" s="8" t="str">
        <f t="shared" si="16"/>
        <v>x</v>
      </c>
      <c r="AT16" s="1" t="str">
        <f t="shared" si="17"/>
        <v>x</v>
      </c>
      <c r="AU16" s="1" t="str">
        <f>IF(AN16="x","x",MAX(AR43:AU43))</f>
        <v>x</v>
      </c>
      <c r="AV16" s="5" t="s">
        <v>30</v>
      </c>
      <c r="AX16" s="5" t="s">
        <v>30</v>
      </c>
      <c r="AY16" s="1">
        <f t="shared" si="18"/>
        <v>-5.251623040000001</v>
      </c>
      <c r="AZ16" s="8" t="str">
        <f t="shared" si="19"/>
        <v>x</v>
      </c>
      <c r="BA16" s="1" t="str">
        <f t="shared" si="20"/>
        <v>x</v>
      </c>
      <c r="BB16" s="1" t="str">
        <f>IF(AU16="x","x",MAX(AY43:BB43))</f>
        <v>x</v>
      </c>
      <c r="BC16" s="5" t="s">
        <v>30</v>
      </c>
      <c r="BE16" s="5" t="s">
        <v>30</v>
      </c>
      <c r="BF16" s="1">
        <f t="shared" si="21"/>
        <v>-5.3724518400000001</v>
      </c>
      <c r="BG16" s="8" t="str">
        <f t="shared" si="22"/>
        <v>x</v>
      </c>
      <c r="BH16" s="1" t="str">
        <f t="shared" si="23"/>
        <v>x</v>
      </c>
      <c r="BI16" s="1" t="str">
        <f>IF(BB16="x","x",MAX(BF43:BI43))</f>
        <v>x</v>
      </c>
      <c r="BJ16" s="5" t="s">
        <v>30</v>
      </c>
      <c r="BL16" s="5" t="s">
        <v>30</v>
      </c>
      <c r="BM16" s="1">
        <f t="shared" si="24"/>
        <v>-5.4349404928000009</v>
      </c>
      <c r="BN16" s="8" t="str">
        <f t="shared" si="25"/>
        <v>x</v>
      </c>
      <c r="BO16" s="1" t="str">
        <f t="shared" si="26"/>
        <v>x</v>
      </c>
      <c r="BP16" s="1" t="str">
        <f>IF(BI16="x","x",MAX(BM43:BP43))</f>
        <v>x</v>
      </c>
      <c r="BQ16" s="5" t="s">
        <v>30</v>
      </c>
      <c r="BS16" s="5" t="s">
        <v>30</v>
      </c>
      <c r="BT16" s="1">
        <f t="shared" si="27"/>
        <v>-5.4665004134400013</v>
      </c>
      <c r="BU16" s="8" t="str">
        <f t="shared" si="28"/>
        <v>x</v>
      </c>
      <c r="BV16" s="1" t="str">
        <f t="shared" si="29"/>
        <v>x</v>
      </c>
      <c r="BW16" s="1" t="str">
        <f>IF(BP16="x","x",MAX(BT43:BW43))</f>
        <v>x</v>
      </c>
      <c r="BX16" s="5" t="s">
        <v>30</v>
      </c>
      <c r="BZ16" s="5" t="s">
        <v>30</v>
      </c>
      <c r="CA16" s="1">
        <f t="shared" si="30"/>
        <v>-5.4821531084800013</v>
      </c>
      <c r="CB16" s="8" t="str">
        <f t="shared" si="31"/>
        <v>x</v>
      </c>
      <c r="CC16" s="1" t="str">
        <f t="shared" si="32"/>
        <v>x</v>
      </c>
      <c r="CD16" s="1" t="str">
        <f>IF(BW16="x","x",MAX(CA43:CD43))</f>
        <v>x</v>
      </c>
      <c r="CE16" s="5" t="s">
        <v>30</v>
      </c>
      <c r="CG16" s="5" t="s">
        <v>30</v>
      </c>
      <c r="CH16" s="1">
        <f t="shared" si="33"/>
        <v>-5.489807944089601</v>
      </c>
      <c r="CI16" s="8" t="str">
        <f t="shared" si="34"/>
        <v>x</v>
      </c>
      <c r="CJ16" s="1" t="str">
        <f t="shared" si="35"/>
        <v>x</v>
      </c>
      <c r="CK16" s="1" t="str">
        <f>IF(CD16="x","x",MAX(CH43:CK43))</f>
        <v>x</v>
      </c>
      <c r="CL16" s="5" t="s">
        <v>30</v>
      </c>
      <c r="CN16" s="5" t="s">
        <v>30</v>
      </c>
      <c r="CO16" s="1">
        <f t="shared" si="36"/>
        <v>-5.4935095092428803</v>
      </c>
      <c r="CP16" s="8" t="str">
        <f t="shared" si="37"/>
        <v>x</v>
      </c>
      <c r="CQ16" s="1" t="str">
        <f t="shared" si="38"/>
        <v>x</v>
      </c>
      <c r="CR16" s="1" t="str">
        <f>IF(CK16="x","x",MAX(CO43:CR43))</f>
        <v>x</v>
      </c>
      <c r="CS16" s="5" t="s">
        <v>30</v>
      </c>
      <c r="CU16" s="5" t="s">
        <v>30</v>
      </c>
      <c r="CV16" s="1">
        <f t="shared" si="39"/>
        <v>-5.4952830205132814</v>
      </c>
      <c r="CW16" s="8" t="str">
        <f t="shared" si="40"/>
        <v>x</v>
      </c>
      <c r="CX16" s="1" t="str">
        <f t="shared" si="41"/>
        <v>x</v>
      </c>
      <c r="CY16" s="1" t="str">
        <f>IF(CR16="x","x",MAX(CV43:CY43))</f>
        <v>x</v>
      </c>
      <c r="CZ16" s="5" t="s">
        <v>30</v>
      </c>
      <c r="DB16" s="5" t="s">
        <v>30</v>
      </c>
      <c r="DC16" s="1">
        <f t="shared" si="42"/>
        <v>-5.4961262584152077</v>
      </c>
      <c r="DD16" s="8" t="str">
        <f t="shared" si="43"/>
        <v>x</v>
      </c>
      <c r="DE16" s="1" t="str">
        <f t="shared" si="44"/>
        <v>x</v>
      </c>
      <c r="DF16" s="1" t="str">
        <f>IF(CY16="x","x",MAX(DC43:DF43))</f>
        <v>x</v>
      </c>
      <c r="DG16" s="5" t="s">
        <v>30</v>
      </c>
    </row>
    <row r="17" spans="1:111" x14ac:dyDescent="0.25">
      <c r="A17" s="5" t="s">
        <v>30</v>
      </c>
      <c r="B17" s="1">
        <v>0</v>
      </c>
      <c r="C17" s="1">
        <v>0</v>
      </c>
      <c r="D17" s="1">
        <v>0</v>
      </c>
      <c r="E17" s="1">
        <v>0</v>
      </c>
      <c r="F17" s="5" t="s">
        <v>30</v>
      </c>
      <c r="H17" s="5" t="s">
        <v>30</v>
      </c>
      <c r="I17" s="1">
        <f t="shared" si="0"/>
        <v>-0.99</v>
      </c>
      <c r="J17" s="1">
        <f t="shared" si="1"/>
        <v>-0.99</v>
      </c>
      <c r="K17" s="1">
        <f t="shared" si="2"/>
        <v>-0.99</v>
      </c>
      <c r="L17" s="1">
        <f>IF(E17="x","x",MAX(I44:L44))</f>
        <v>-0.99</v>
      </c>
      <c r="M17" s="5" t="s">
        <v>30</v>
      </c>
      <c r="O17" s="5" t="s">
        <v>30</v>
      </c>
      <c r="P17" s="1">
        <f t="shared" si="3"/>
        <v>-1.98</v>
      </c>
      <c r="Q17" s="1">
        <f t="shared" si="4"/>
        <v>-1.98</v>
      </c>
      <c r="R17" s="1">
        <f t="shared" si="5"/>
        <v>-1.98</v>
      </c>
      <c r="S17" s="1">
        <f>IF(L17="x","x",MAX(P44:S44))</f>
        <v>-1.98</v>
      </c>
      <c r="T17" s="5" t="s">
        <v>30</v>
      </c>
      <c r="V17" s="5" t="s">
        <v>30</v>
      </c>
      <c r="W17" s="1">
        <f t="shared" si="6"/>
        <v>-2.9699999999999998</v>
      </c>
      <c r="X17" s="1">
        <f t="shared" si="7"/>
        <v>-2.9699999999999998</v>
      </c>
      <c r="Y17" s="1">
        <f t="shared" si="8"/>
        <v>-2.9699999999999998</v>
      </c>
      <c r="Z17" s="1">
        <f>IF(S17="x","x",MAX(W44:Z44))</f>
        <v>-2.9699999999999998</v>
      </c>
      <c r="AA17" s="5" t="s">
        <v>30</v>
      </c>
      <c r="AC17" s="5" t="s">
        <v>30</v>
      </c>
      <c r="AD17" s="1">
        <f t="shared" si="9"/>
        <v>-3.96</v>
      </c>
      <c r="AE17" s="1">
        <f t="shared" si="10"/>
        <v>-3.96</v>
      </c>
      <c r="AF17" s="1">
        <f t="shared" si="11"/>
        <v>-3.96</v>
      </c>
      <c r="AG17" s="1">
        <f>IF(Z17="x","x",MAX(AD44:AG44))</f>
        <v>-3.96</v>
      </c>
      <c r="AH17" s="5" t="s">
        <v>30</v>
      </c>
      <c r="AJ17" s="5" t="s">
        <v>30</v>
      </c>
      <c r="AK17" s="1">
        <f t="shared" si="12"/>
        <v>-4.95</v>
      </c>
      <c r="AL17" s="1">
        <f t="shared" si="13"/>
        <v>-4.95</v>
      </c>
      <c r="AM17" s="1">
        <f t="shared" si="14"/>
        <v>-4.95</v>
      </c>
      <c r="AN17" s="1">
        <f>IF(AG17="x","x",MAX(AK44:AN44))</f>
        <v>-4.95</v>
      </c>
      <c r="AO17" s="5" t="s">
        <v>30</v>
      </c>
      <c r="AQ17" s="5" t="s">
        <v>30</v>
      </c>
      <c r="AR17" s="1">
        <f t="shared" si="15"/>
        <v>-5.6778560000000002</v>
      </c>
      <c r="AS17" s="1">
        <f t="shared" si="16"/>
        <v>-5.94</v>
      </c>
      <c r="AT17" s="1">
        <f t="shared" si="17"/>
        <v>-5.94</v>
      </c>
      <c r="AU17" s="1">
        <f>IF(AN17="x","x",MAX(AR44:AU44))</f>
        <v>-5.94</v>
      </c>
      <c r="AV17" s="5" t="s">
        <v>30</v>
      </c>
      <c r="AX17" s="5" t="s">
        <v>30</v>
      </c>
      <c r="AY17" s="1">
        <f t="shared" si="18"/>
        <v>-6.1724038400000012</v>
      </c>
      <c r="AZ17" s="1">
        <f t="shared" si="19"/>
        <v>-6.7202848000000008</v>
      </c>
      <c r="BA17" s="1">
        <f t="shared" si="20"/>
        <v>-6.9300000000000015</v>
      </c>
      <c r="BB17" s="1">
        <f>IF(AU17="x","x",MAX(AY44:BB44))</f>
        <v>-6.9300000000000015</v>
      </c>
      <c r="BC17" s="5" t="s">
        <v>30</v>
      </c>
      <c r="BE17" s="5" t="s">
        <v>30</v>
      </c>
      <c r="BF17" s="1">
        <f t="shared" si="21"/>
        <v>-6.4805672960000011</v>
      </c>
      <c r="BG17" s="1">
        <f t="shared" si="22"/>
        <v>-7.271980032000001</v>
      </c>
      <c r="BH17" s="1">
        <f t="shared" si="23"/>
        <v>-7.7522278400000024</v>
      </c>
      <c r="BI17" s="1">
        <f>IF(BB17="x","x",MAX(BF44:BI44))</f>
        <v>-7.9200000000000026</v>
      </c>
      <c r="BJ17" s="5" t="s">
        <v>30</v>
      </c>
      <c r="BL17" s="5" t="s">
        <v>30</v>
      </c>
      <c r="BM17" s="1">
        <f t="shared" si="24"/>
        <v>-6.6632162048000003</v>
      </c>
      <c r="BN17" s="1">
        <f t="shared" si="25"/>
        <v>-7.6288498432000011</v>
      </c>
      <c r="BO17" s="1">
        <f t="shared" si="26"/>
        <v>-8.3580295936000013</v>
      </c>
      <c r="BP17" s="1">
        <f>IF(BI17="x","x",MAX(BM44:BP44))</f>
        <v>-8.7757822720000025</v>
      </c>
      <c r="BQ17" s="5" t="s">
        <v>30</v>
      </c>
      <c r="BS17" s="5" t="s">
        <v>30</v>
      </c>
      <c r="BT17" s="1">
        <f t="shared" si="27"/>
        <v>-6.7671589990400012</v>
      </c>
      <c r="BU17" s="1">
        <f t="shared" si="28"/>
        <v>-7.8463429324800016</v>
      </c>
      <c r="BV17" s="1">
        <f t="shared" si="29"/>
        <v>-8.7646857932800017</v>
      </c>
      <c r="BW17" s="1">
        <f>IF(BP17="x","x",MAX(BT44:BW44))</f>
        <v>-9.4450019020800013</v>
      </c>
      <c r="BX17" s="5" t="s">
        <v>30</v>
      </c>
      <c r="BZ17" s="5" t="s">
        <v>30</v>
      </c>
      <c r="CA17" s="1">
        <f t="shared" si="30"/>
        <v>-6.8245505239040014</v>
      </c>
      <c r="CB17" s="1">
        <f t="shared" si="31"/>
        <v>-7.9729957857280027</v>
      </c>
      <c r="CC17" s="1">
        <f t="shared" si="32"/>
        <v>-9.0200115046400011</v>
      </c>
      <c r="CD17" s="1">
        <f>IF(BW17="x","x",MAX(CA44:CD44))</f>
        <v>-9.9255114065920029</v>
      </c>
      <c r="CE17" s="5" t="s">
        <v>30</v>
      </c>
      <c r="CG17" s="5" t="s">
        <v>30</v>
      </c>
      <c r="CH17" s="1">
        <f t="shared" si="33"/>
        <v>-6.8554771177472018</v>
      </c>
      <c r="CI17" s="1">
        <f t="shared" si="34"/>
        <v>-8.0442395762688008</v>
      </c>
      <c r="CJ17" s="1">
        <f t="shared" si="35"/>
        <v>-9.172398929510404</v>
      </c>
      <c r="CK17" s="1">
        <f>IF(CD17="x","x",MAX(CH44:CK44))</f>
        <v>-10.249013012889602</v>
      </c>
      <c r="CL17" s="5" t="s">
        <v>30</v>
      </c>
      <c r="CN17" s="5" t="s">
        <v>30</v>
      </c>
      <c r="CO17" s="1">
        <f t="shared" si="36"/>
        <v>-6.8718180246732805</v>
      </c>
      <c r="CP17" s="1">
        <f t="shared" si="37"/>
        <v>-8.0832296094515215</v>
      </c>
      <c r="CQ17" s="1">
        <f t="shared" si="38"/>
        <v>-9.2598714469171224</v>
      </c>
      <c r="CR17" s="1">
        <f>IF(CK17="x","x",MAX(CO44:CR44))</f>
        <v>-10.455951891128326</v>
      </c>
      <c r="CS17" s="5" t="s">
        <v>30</v>
      </c>
      <c r="CU17" s="5" t="s">
        <v>30</v>
      </c>
      <c r="CV17" s="1">
        <f t="shared" si="39"/>
        <v>-6.8803123708067853</v>
      </c>
      <c r="CW17" s="1">
        <f t="shared" si="40"/>
        <v>-8.1041003416289286</v>
      </c>
      <c r="CX17" s="1">
        <f t="shared" si="41"/>
        <v>-9.3085579769446429</v>
      </c>
      <c r="CY17" s="1">
        <f>IF(CR17="x","x",MAX(CV44:CY44))</f>
        <v>-10.583039676923908</v>
      </c>
      <c r="CZ17" s="5" t="s">
        <v>30</v>
      </c>
      <c r="DB17" s="5" t="s">
        <v>30</v>
      </c>
      <c r="DC17" s="1">
        <f t="shared" si="42"/>
        <v>-6.884667687654197</v>
      </c>
      <c r="DD17" s="1">
        <f t="shared" si="43"/>
        <v>-8.1150699649712141</v>
      </c>
      <c r="DE17" s="1">
        <f t="shared" si="44"/>
        <v>-9.3349918686920716</v>
      </c>
      <c r="DF17" s="1">
        <f>IF(CY17="x","x",MAX(DC44:DF44))</f>
        <v>-10.658535966593847</v>
      </c>
      <c r="DG17" s="5" t="s">
        <v>30</v>
      </c>
    </row>
    <row r="18" spans="1:111" x14ac:dyDescent="0.25">
      <c r="A18" s="5" t="s">
        <v>30</v>
      </c>
      <c r="B18" s="1" t="s">
        <v>30</v>
      </c>
      <c r="C18" s="8" t="s">
        <v>30</v>
      </c>
      <c r="D18" s="8" t="s">
        <v>30</v>
      </c>
      <c r="E18" s="1">
        <v>0</v>
      </c>
      <c r="F18" s="5" t="s">
        <v>30</v>
      </c>
      <c r="H18" s="5" t="s">
        <v>30</v>
      </c>
      <c r="I18" s="1" t="str">
        <f t="shared" si="0"/>
        <v>x</v>
      </c>
      <c r="J18" s="8" t="str">
        <f t="shared" si="1"/>
        <v>x</v>
      </c>
      <c r="K18" s="8" t="str">
        <f t="shared" si="2"/>
        <v>x</v>
      </c>
      <c r="L18" s="1">
        <f>IF(E18="x","x",MAX(I45:L45))</f>
        <v>-0.99</v>
      </c>
      <c r="M18" s="5" t="s">
        <v>30</v>
      </c>
      <c r="O18" s="5" t="s">
        <v>30</v>
      </c>
      <c r="P18" s="1" t="str">
        <f t="shared" si="3"/>
        <v>x</v>
      </c>
      <c r="Q18" s="8" t="str">
        <f t="shared" si="4"/>
        <v>x</v>
      </c>
      <c r="R18" s="8" t="str">
        <f t="shared" si="5"/>
        <v>x</v>
      </c>
      <c r="S18" s="1">
        <f>IF(L18="x","x",MAX(P45:S45))</f>
        <v>-1.98</v>
      </c>
      <c r="T18" s="5" t="s">
        <v>30</v>
      </c>
      <c r="V18" s="5" t="s">
        <v>30</v>
      </c>
      <c r="W18" s="1" t="str">
        <f t="shared" si="6"/>
        <v>x</v>
      </c>
      <c r="X18" s="8" t="str">
        <f t="shared" si="7"/>
        <v>x</v>
      </c>
      <c r="Y18" s="8" t="str">
        <f t="shared" si="8"/>
        <v>x</v>
      </c>
      <c r="Z18" s="1">
        <f>IF(S18="x","x",MAX(W45:Z45))</f>
        <v>-2.9699999999999998</v>
      </c>
      <c r="AA18" s="5" t="s">
        <v>30</v>
      </c>
      <c r="AC18" s="5" t="s">
        <v>30</v>
      </c>
      <c r="AD18" s="1" t="str">
        <f t="shared" si="9"/>
        <v>x</v>
      </c>
      <c r="AE18" s="8" t="str">
        <f t="shared" si="10"/>
        <v>x</v>
      </c>
      <c r="AF18" s="8" t="str">
        <f t="shared" si="11"/>
        <v>x</v>
      </c>
      <c r="AG18" s="1">
        <f>IF(Z18="x","x",MAX(AD45:AG45))</f>
        <v>-3.96</v>
      </c>
      <c r="AH18" s="5" t="s">
        <v>30</v>
      </c>
      <c r="AJ18" s="5" t="s">
        <v>30</v>
      </c>
      <c r="AK18" s="1" t="str">
        <f t="shared" si="12"/>
        <v>x</v>
      </c>
      <c r="AL18" s="8" t="str">
        <f t="shared" si="13"/>
        <v>x</v>
      </c>
      <c r="AM18" s="8" t="str">
        <f t="shared" si="14"/>
        <v>x</v>
      </c>
      <c r="AN18" s="1">
        <f>IF(AG18="x","x",MAX(AK45:AN45))</f>
        <v>-4.95</v>
      </c>
      <c r="AO18" s="5" t="s">
        <v>30</v>
      </c>
      <c r="AQ18" s="5" t="s">
        <v>30</v>
      </c>
      <c r="AR18" s="1" t="str">
        <f t="shared" si="15"/>
        <v>x</v>
      </c>
      <c r="AS18" s="8" t="str">
        <f t="shared" si="16"/>
        <v>x</v>
      </c>
      <c r="AT18" s="8" t="str">
        <f t="shared" si="17"/>
        <v>x</v>
      </c>
      <c r="AU18" s="1">
        <f>IF(AN18="x","x",MAX(AR45:AU45))</f>
        <v>-5.94</v>
      </c>
      <c r="AV18" s="5" t="s">
        <v>30</v>
      </c>
      <c r="AX18" s="5" t="s">
        <v>30</v>
      </c>
      <c r="AY18" s="1" t="str">
        <f t="shared" si="18"/>
        <v>x</v>
      </c>
      <c r="AZ18" s="8" t="str">
        <f t="shared" si="19"/>
        <v>x</v>
      </c>
      <c r="BA18" s="8" t="str">
        <f t="shared" si="20"/>
        <v>x</v>
      </c>
      <c r="BB18" s="1">
        <f>IF(AU18="x","x",MAX(AY45:BB45))</f>
        <v>-6.9300000000000015</v>
      </c>
      <c r="BC18" s="5" t="s">
        <v>30</v>
      </c>
      <c r="BE18" s="5" t="s">
        <v>30</v>
      </c>
      <c r="BF18" s="1" t="str">
        <f t="shared" si="21"/>
        <v>x</v>
      </c>
      <c r="BG18" s="8" t="str">
        <f t="shared" si="22"/>
        <v>x</v>
      </c>
      <c r="BH18" s="8" t="str">
        <f t="shared" si="23"/>
        <v>x</v>
      </c>
      <c r="BI18" s="1">
        <f>IF(BB18="x","x",MAX(BF45:BI45))</f>
        <v>-7.9200000000000026</v>
      </c>
      <c r="BJ18" s="5" t="s">
        <v>30</v>
      </c>
      <c r="BL18" s="5" t="s">
        <v>30</v>
      </c>
      <c r="BM18" s="1" t="str">
        <f t="shared" si="24"/>
        <v>x</v>
      </c>
      <c r="BN18" s="8" t="str">
        <f t="shared" si="25"/>
        <v>x</v>
      </c>
      <c r="BO18" s="8" t="str">
        <f t="shared" si="26"/>
        <v>x</v>
      </c>
      <c r="BP18" s="1">
        <f>IF(BI18="x","x",MAX(BM45:BP45))</f>
        <v>-8.9100000000000019</v>
      </c>
      <c r="BQ18" s="5" t="s">
        <v>30</v>
      </c>
      <c r="BS18" s="5" t="s">
        <v>30</v>
      </c>
      <c r="BT18" s="1" t="str">
        <f t="shared" si="27"/>
        <v>x</v>
      </c>
      <c r="BU18" s="8" t="str">
        <f t="shared" si="28"/>
        <v>x</v>
      </c>
      <c r="BV18" s="8" t="str">
        <f t="shared" si="29"/>
        <v>x</v>
      </c>
      <c r="BW18" s="1">
        <f>IF(BP18="x","x",MAX(BT45:BW45))</f>
        <v>-9.7926258176000029</v>
      </c>
      <c r="BX18" s="5" t="s">
        <v>30</v>
      </c>
      <c r="BZ18" s="5" t="s">
        <v>30</v>
      </c>
      <c r="CA18" s="1" t="str">
        <f t="shared" si="30"/>
        <v>x</v>
      </c>
      <c r="CB18" s="8" t="str">
        <f t="shared" si="31"/>
        <v>x</v>
      </c>
      <c r="CC18" s="8" t="str">
        <f t="shared" si="32"/>
        <v>x</v>
      </c>
      <c r="CD18" s="1">
        <f>IF(BW18="x","x",MAX(CA45:CD45))</f>
        <v>-10.504526685184002</v>
      </c>
      <c r="CE18" s="5" t="s">
        <v>30</v>
      </c>
      <c r="CG18" s="5" t="s">
        <v>30</v>
      </c>
      <c r="CH18" s="1" t="str">
        <f t="shared" si="33"/>
        <v>x</v>
      </c>
      <c r="CI18" s="8" t="str">
        <f t="shared" si="34"/>
        <v>x</v>
      </c>
      <c r="CJ18" s="8" t="str">
        <f t="shared" si="35"/>
        <v>x</v>
      </c>
      <c r="CK18" s="1">
        <f>IF(CD18="x","x",MAX(CH45:CK45))</f>
        <v>-11.031314462310403</v>
      </c>
      <c r="CL18" s="5" t="s">
        <v>30</v>
      </c>
      <c r="CN18" s="5" t="s">
        <v>30</v>
      </c>
      <c r="CO18" s="1" t="str">
        <f t="shared" si="36"/>
        <v>x</v>
      </c>
      <c r="CP18" s="8" t="str">
        <f t="shared" si="37"/>
        <v>x</v>
      </c>
      <c r="CQ18" s="8" t="str">
        <f t="shared" si="38"/>
        <v>x</v>
      </c>
      <c r="CR18" s="1">
        <f>IF(CK18="x","x",MAX(CO45:CR45))</f>
        <v>-11.395473302773764</v>
      </c>
      <c r="CS18" s="5" t="s">
        <v>30</v>
      </c>
      <c r="CU18" s="5" t="s">
        <v>30</v>
      </c>
      <c r="CV18" s="1" t="str">
        <f t="shared" si="39"/>
        <v>x</v>
      </c>
      <c r="CW18" s="8" t="str">
        <f t="shared" si="40"/>
        <v>x</v>
      </c>
      <c r="CX18" s="8" t="str">
        <f t="shared" si="41"/>
        <v>x</v>
      </c>
      <c r="CY18" s="1">
        <f>IF(CR18="x","x",MAX(CV45:CY45))</f>
        <v>-11.633856173457415</v>
      </c>
      <c r="CZ18" s="5" t="s">
        <v>30</v>
      </c>
      <c r="DB18" s="5" t="s">
        <v>30</v>
      </c>
      <c r="DC18" s="1" t="str">
        <f t="shared" si="42"/>
        <v>x</v>
      </c>
      <c r="DD18" s="8" t="str">
        <f t="shared" si="43"/>
        <v>x</v>
      </c>
      <c r="DE18" s="8" t="str">
        <f t="shared" si="44"/>
        <v>x</v>
      </c>
      <c r="DF18" s="1">
        <f>IF(CY18="x","x",MAX(DC45:DF45))</f>
        <v>-11.78320297623061</v>
      </c>
      <c r="DG18" s="5" t="s">
        <v>30</v>
      </c>
    </row>
    <row r="19" spans="1:111" x14ac:dyDescent="0.25">
      <c r="A19" s="5" t="s">
        <v>30</v>
      </c>
      <c r="B19" s="1">
        <v>0</v>
      </c>
      <c r="C19" s="1">
        <v>0</v>
      </c>
      <c r="D19" s="1">
        <v>0</v>
      </c>
      <c r="E19" s="1">
        <v>0</v>
      </c>
      <c r="F19" s="5" t="s">
        <v>30</v>
      </c>
      <c r="H19" s="5" t="s">
        <v>30</v>
      </c>
      <c r="I19" s="1">
        <f t="shared" si="0"/>
        <v>-0.99</v>
      </c>
      <c r="J19" s="1">
        <f t="shared" si="1"/>
        <v>-0.99</v>
      </c>
      <c r="K19" s="1">
        <f t="shared" si="2"/>
        <v>-0.99</v>
      </c>
      <c r="L19" s="1">
        <f>IF(E19="x","x",MAX(I46:L46))</f>
        <v>-0.99</v>
      </c>
      <c r="M19" s="5" t="s">
        <v>30</v>
      </c>
      <c r="O19" s="5" t="s">
        <v>30</v>
      </c>
      <c r="P19" s="1">
        <f t="shared" si="3"/>
        <v>-1.98</v>
      </c>
      <c r="Q19" s="1">
        <f t="shared" si="4"/>
        <v>-1.98</v>
      </c>
      <c r="R19" s="1">
        <f t="shared" si="5"/>
        <v>-1.98</v>
      </c>
      <c r="S19" s="1">
        <f>IF(L19="x","x",MAX(P46:S46))</f>
        <v>-1.98</v>
      </c>
      <c r="T19" s="5" t="s">
        <v>30</v>
      </c>
      <c r="V19" s="5" t="s">
        <v>30</v>
      </c>
      <c r="W19" s="1">
        <f t="shared" si="6"/>
        <v>-2.9699999999999998</v>
      </c>
      <c r="X19" s="1">
        <f t="shared" si="7"/>
        <v>-2.9699999999999998</v>
      </c>
      <c r="Y19" s="1">
        <f t="shared" si="8"/>
        <v>-2.9699999999999998</v>
      </c>
      <c r="Z19" s="1">
        <f>IF(S19="x","x",MAX(W46:Z46))</f>
        <v>-2.9699999999999998</v>
      </c>
      <c r="AA19" s="5" t="s">
        <v>30</v>
      </c>
      <c r="AC19" s="5" t="s">
        <v>30</v>
      </c>
      <c r="AD19" s="1">
        <f t="shared" si="9"/>
        <v>-3.96</v>
      </c>
      <c r="AE19" s="1">
        <f t="shared" si="10"/>
        <v>-3.96</v>
      </c>
      <c r="AF19" s="1">
        <f t="shared" si="11"/>
        <v>-3.96</v>
      </c>
      <c r="AG19" s="1">
        <f>IF(Z19="x","x",MAX(AD46:AG46))</f>
        <v>-3.96</v>
      </c>
      <c r="AH19" s="5" t="s">
        <v>30</v>
      </c>
      <c r="AJ19" s="5" t="s">
        <v>30</v>
      </c>
      <c r="AK19" s="1">
        <f t="shared" si="12"/>
        <v>-4.95</v>
      </c>
      <c r="AL19" s="1">
        <f t="shared" si="13"/>
        <v>-4.95</v>
      </c>
      <c r="AM19" s="1">
        <f t="shared" si="14"/>
        <v>-4.95</v>
      </c>
      <c r="AN19" s="1">
        <f>IF(AG19="x","x",MAX(AK46:AN46))</f>
        <v>-4.95</v>
      </c>
      <c r="AO19" s="5" t="s">
        <v>30</v>
      </c>
      <c r="AQ19" s="5" t="s">
        <v>30</v>
      </c>
      <c r="AR19" s="1">
        <f t="shared" si="15"/>
        <v>-5.94</v>
      </c>
      <c r="AS19" s="1">
        <f t="shared" si="16"/>
        <v>-5.94</v>
      </c>
      <c r="AT19" s="1">
        <f t="shared" si="17"/>
        <v>-5.94</v>
      </c>
      <c r="AU19" s="1">
        <f>IF(AN19="x","x",MAX(AR46:AU46))</f>
        <v>-5.94</v>
      </c>
      <c r="AV19" s="5" t="s">
        <v>30</v>
      </c>
      <c r="AX19" s="5" t="s">
        <v>30</v>
      </c>
      <c r="AY19" s="1">
        <f t="shared" si="18"/>
        <v>-6.9300000000000015</v>
      </c>
      <c r="AZ19" s="1">
        <f t="shared" si="19"/>
        <v>-6.9300000000000015</v>
      </c>
      <c r="BA19" s="1">
        <f t="shared" si="20"/>
        <v>-6.9300000000000015</v>
      </c>
      <c r="BB19" s="1">
        <f>IF(AU19="x","x",MAX(AY46:BB46))</f>
        <v>-6.9300000000000015</v>
      </c>
      <c r="BC19" s="5" t="s">
        <v>30</v>
      </c>
      <c r="BE19" s="5" t="s">
        <v>30</v>
      </c>
      <c r="BF19" s="1">
        <f t="shared" si="21"/>
        <v>-7.9200000000000026</v>
      </c>
      <c r="BG19" s="1">
        <f t="shared" si="22"/>
        <v>-7.9200000000000026</v>
      </c>
      <c r="BH19" s="1">
        <f t="shared" si="23"/>
        <v>-7.9200000000000026</v>
      </c>
      <c r="BI19" s="1">
        <f>IF(BB19="x","x",MAX(BF46:BI46))</f>
        <v>-7.9200000000000026</v>
      </c>
      <c r="BJ19" s="5" t="s">
        <v>30</v>
      </c>
      <c r="BL19" s="5" t="s">
        <v>30</v>
      </c>
      <c r="BM19" s="1">
        <f t="shared" si="24"/>
        <v>-8.9100000000000019</v>
      </c>
      <c r="BN19" s="1">
        <f t="shared" si="25"/>
        <v>-8.9100000000000019</v>
      </c>
      <c r="BO19" s="1">
        <f t="shared" si="26"/>
        <v>-8.9100000000000019</v>
      </c>
      <c r="BP19" s="1">
        <f>IF(BI19="x","x",MAX(BM46:BP46))</f>
        <v>-8.9100000000000019</v>
      </c>
      <c r="BQ19" s="5" t="s">
        <v>30</v>
      </c>
      <c r="BS19" s="5" t="s">
        <v>30</v>
      </c>
      <c r="BT19" s="1">
        <f t="shared" si="27"/>
        <v>-9.9000000000000021</v>
      </c>
      <c r="BU19" s="1">
        <f t="shared" si="28"/>
        <v>-9.9000000000000021</v>
      </c>
      <c r="BV19" s="1">
        <f t="shared" si="29"/>
        <v>-9.9000000000000021</v>
      </c>
      <c r="BW19" s="1">
        <f>IF(BP19="x","x",MAX(BT46:BW46))</f>
        <v>-9.9000000000000021</v>
      </c>
      <c r="BX19" s="5" t="s">
        <v>30</v>
      </c>
      <c r="BZ19" s="5" t="s">
        <v>30</v>
      </c>
      <c r="CA19" s="1">
        <f t="shared" si="30"/>
        <v>-10.890000000000002</v>
      </c>
      <c r="CB19" s="1">
        <f t="shared" si="31"/>
        <v>-10.890000000000002</v>
      </c>
      <c r="CC19" s="1">
        <f t="shared" si="32"/>
        <v>-10.890000000000002</v>
      </c>
      <c r="CD19" s="1">
        <f>IF(BW19="x","x",MAX(CA46:CD46))</f>
        <v>-10.804100654080003</v>
      </c>
      <c r="CE19" s="5" t="s">
        <v>30</v>
      </c>
      <c r="CG19" s="5" t="s">
        <v>30</v>
      </c>
      <c r="CH19" s="1">
        <f t="shared" si="33"/>
        <v>-11.880000000000003</v>
      </c>
      <c r="CI19" s="1">
        <f t="shared" si="34"/>
        <v>-11.880000000000003</v>
      </c>
      <c r="CJ19" s="1">
        <f t="shared" si="35"/>
        <v>-11.811280523264003</v>
      </c>
      <c r="CK19" s="1">
        <f>IF(CD19="x","x",MAX(CH46:CK46))</f>
        <v>-11.563031413555203</v>
      </c>
      <c r="CL19" s="5" t="s">
        <v>30</v>
      </c>
      <c r="CN19" s="5" t="s">
        <v>30</v>
      </c>
      <c r="CO19" s="1">
        <f t="shared" si="36"/>
        <v>-12.870000000000005</v>
      </c>
      <c r="CP19" s="1">
        <f t="shared" si="37"/>
        <v>-12.815024418611204</v>
      </c>
      <c r="CQ19" s="1">
        <f t="shared" si="38"/>
        <v>-12.602681235496963</v>
      </c>
      <c r="CR19" s="1">
        <f>IF(CK19="x","x",MAX(CO46:CR46))</f>
        <v>-12.152482763530244</v>
      </c>
      <c r="CS19" s="5" t="s">
        <v>30</v>
      </c>
      <c r="CU19" s="5" t="s">
        <v>30</v>
      </c>
      <c r="CV19" s="1">
        <f t="shared" si="39"/>
        <v>-13.816019534888966</v>
      </c>
      <c r="CW19" s="1">
        <f t="shared" si="40"/>
        <v>-13.635149872119811</v>
      </c>
      <c r="CX19" s="1">
        <f t="shared" si="41"/>
        <v>-13.23252245792359</v>
      </c>
      <c r="CY19" s="1">
        <f>IF(CR19="x","x",MAX(CV46:CY46))</f>
        <v>-12.581895042121733</v>
      </c>
      <c r="CZ19" s="5" t="s">
        <v>30</v>
      </c>
      <c r="DB19" s="5" t="s">
        <v>30</v>
      </c>
      <c r="DC19" s="1">
        <f t="shared" si="42"/>
        <v>-14.661323804673643</v>
      </c>
      <c r="DD19" s="1">
        <f t="shared" si="43"/>
        <v>-14.303047940762836</v>
      </c>
      <c r="DE19" s="1">
        <f t="shared" si="44"/>
        <v>-13.702020525282105</v>
      </c>
      <c r="DF19" s="1">
        <f>IF(CY19="x","x",MAX(DC46:DF46))</f>
        <v>-12.878526688770465</v>
      </c>
      <c r="DG19" s="5" t="s">
        <v>30</v>
      </c>
    </row>
    <row r="20" spans="1:111" x14ac:dyDescent="0.25">
      <c r="A20" s="5" t="s">
        <v>30</v>
      </c>
      <c r="B20" s="5" t="s">
        <v>30</v>
      </c>
      <c r="C20" s="7" t="s">
        <v>30</v>
      </c>
      <c r="D20" s="5" t="s">
        <v>30</v>
      </c>
      <c r="E20" s="5" t="s">
        <v>30</v>
      </c>
      <c r="F20" s="5" t="s">
        <v>30</v>
      </c>
      <c r="H20" s="5" t="s">
        <v>30</v>
      </c>
      <c r="I20" s="5" t="s">
        <v>30</v>
      </c>
      <c r="J20" s="7" t="s">
        <v>30</v>
      </c>
      <c r="K20" s="5" t="s">
        <v>30</v>
      </c>
      <c r="L20" s="5" t="s">
        <v>30</v>
      </c>
      <c r="M20" s="5" t="s">
        <v>30</v>
      </c>
      <c r="O20" s="5" t="s">
        <v>30</v>
      </c>
      <c r="P20" s="5" t="s">
        <v>30</v>
      </c>
      <c r="Q20" s="7" t="s">
        <v>30</v>
      </c>
      <c r="R20" s="5" t="s">
        <v>30</v>
      </c>
      <c r="S20" s="5" t="s">
        <v>30</v>
      </c>
      <c r="T20" s="5" t="s">
        <v>30</v>
      </c>
      <c r="V20" s="5" t="s">
        <v>30</v>
      </c>
      <c r="W20" s="5" t="s">
        <v>30</v>
      </c>
      <c r="X20" s="7" t="s">
        <v>30</v>
      </c>
      <c r="Y20" s="5" t="s">
        <v>30</v>
      </c>
      <c r="Z20" s="5" t="s">
        <v>30</v>
      </c>
      <c r="AA20" s="5" t="s">
        <v>30</v>
      </c>
      <c r="AC20" s="5" t="s">
        <v>30</v>
      </c>
      <c r="AD20" s="5" t="s">
        <v>30</v>
      </c>
      <c r="AE20" s="7" t="s">
        <v>30</v>
      </c>
      <c r="AF20" s="5" t="s">
        <v>30</v>
      </c>
      <c r="AG20" s="5" t="s">
        <v>30</v>
      </c>
      <c r="AH20" s="5" t="s">
        <v>30</v>
      </c>
      <c r="AJ20" s="5" t="s">
        <v>30</v>
      </c>
      <c r="AK20" s="5" t="s">
        <v>30</v>
      </c>
      <c r="AL20" s="7" t="s">
        <v>30</v>
      </c>
      <c r="AM20" s="5" t="s">
        <v>30</v>
      </c>
      <c r="AN20" s="5" t="s">
        <v>30</v>
      </c>
      <c r="AO20" s="5" t="s">
        <v>30</v>
      </c>
      <c r="AQ20" s="5" t="s">
        <v>30</v>
      </c>
      <c r="AR20" s="5" t="s">
        <v>30</v>
      </c>
      <c r="AS20" s="7" t="s">
        <v>30</v>
      </c>
      <c r="AT20" s="5" t="s">
        <v>30</v>
      </c>
      <c r="AU20" s="5" t="s">
        <v>30</v>
      </c>
      <c r="AV20" s="5" t="s">
        <v>30</v>
      </c>
      <c r="AX20" s="5" t="s">
        <v>30</v>
      </c>
      <c r="AY20" s="5" t="s">
        <v>30</v>
      </c>
      <c r="AZ20" s="7" t="s">
        <v>30</v>
      </c>
      <c r="BA20" s="5" t="s">
        <v>30</v>
      </c>
      <c r="BB20" s="5" t="s">
        <v>30</v>
      </c>
      <c r="BC20" s="5" t="s">
        <v>30</v>
      </c>
      <c r="BE20" s="5" t="s">
        <v>30</v>
      </c>
      <c r="BF20" s="5" t="s">
        <v>30</v>
      </c>
      <c r="BG20" s="7" t="s">
        <v>30</v>
      </c>
      <c r="BH20" s="5" t="s">
        <v>30</v>
      </c>
      <c r="BI20" s="5" t="s">
        <v>30</v>
      </c>
      <c r="BJ20" s="5" t="s">
        <v>30</v>
      </c>
      <c r="BL20" s="5" t="s">
        <v>30</v>
      </c>
      <c r="BM20" s="5" t="s">
        <v>30</v>
      </c>
      <c r="BN20" s="7" t="s">
        <v>30</v>
      </c>
      <c r="BO20" s="5" t="s">
        <v>30</v>
      </c>
      <c r="BP20" s="5" t="s">
        <v>30</v>
      </c>
      <c r="BQ20" s="5" t="s">
        <v>30</v>
      </c>
      <c r="BS20" s="5" t="s">
        <v>30</v>
      </c>
      <c r="BT20" s="5" t="s">
        <v>30</v>
      </c>
      <c r="BU20" s="7" t="s">
        <v>30</v>
      </c>
      <c r="BV20" s="5" t="s">
        <v>30</v>
      </c>
      <c r="BW20" s="5" t="s">
        <v>30</v>
      </c>
      <c r="BX20" s="5" t="s">
        <v>30</v>
      </c>
      <c r="BZ20" s="5" t="s">
        <v>30</v>
      </c>
      <c r="CA20" s="5" t="s">
        <v>30</v>
      </c>
      <c r="CB20" s="7" t="s">
        <v>30</v>
      </c>
      <c r="CC20" s="5" t="s">
        <v>30</v>
      </c>
      <c r="CD20" s="5" t="s">
        <v>30</v>
      </c>
      <c r="CE20" s="5" t="s">
        <v>30</v>
      </c>
      <c r="CG20" s="5" t="s">
        <v>30</v>
      </c>
      <c r="CH20" s="5" t="s">
        <v>30</v>
      </c>
      <c r="CI20" s="7" t="s">
        <v>30</v>
      </c>
      <c r="CJ20" s="5" t="s">
        <v>30</v>
      </c>
      <c r="CK20" s="5" t="s">
        <v>30</v>
      </c>
      <c r="CL20" s="5" t="s">
        <v>30</v>
      </c>
      <c r="CN20" s="5" t="s">
        <v>30</v>
      </c>
      <c r="CO20" s="5" t="s">
        <v>30</v>
      </c>
      <c r="CP20" s="7" t="s">
        <v>30</v>
      </c>
      <c r="CQ20" s="5" t="s">
        <v>30</v>
      </c>
      <c r="CR20" s="5" t="s">
        <v>30</v>
      </c>
      <c r="CS20" s="5" t="s">
        <v>30</v>
      </c>
      <c r="CU20" s="5" t="s">
        <v>30</v>
      </c>
      <c r="CV20" s="5" t="s">
        <v>30</v>
      </c>
      <c r="CW20" s="7" t="s">
        <v>30</v>
      </c>
      <c r="CX20" s="5" t="s">
        <v>30</v>
      </c>
      <c r="CY20" s="5" t="s">
        <v>30</v>
      </c>
      <c r="CZ20" s="5" t="s">
        <v>30</v>
      </c>
      <c r="DB20" s="5" t="s">
        <v>30</v>
      </c>
      <c r="DC20" s="5" t="s">
        <v>30</v>
      </c>
      <c r="DD20" s="7" t="s">
        <v>30</v>
      </c>
      <c r="DE20" s="5" t="s">
        <v>30</v>
      </c>
      <c r="DF20" s="5" t="s">
        <v>30</v>
      </c>
      <c r="DG20" s="5" t="s">
        <v>30</v>
      </c>
    </row>
    <row r="21" spans="1:111" x14ac:dyDescent="0.25">
      <c r="B21" t="s">
        <v>33</v>
      </c>
      <c r="C21" s="3">
        <v>0.8</v>
      </c>
    </row>
    <row r="22" spans="1:111" x14ac:dyDescent="0.25">
      <c r="B22" t="s">
        <v>13</v>
      </c>
      <c r="C22" s="3">
        <v>0.1</v>
      </c>
      <c r="H22" s="1"/>
      <c r="I22" s="1" t="s">
        <v>9</v>
      </c>
      <c r="J22" s="1" t="s">
        <v>10</v>
      </c>
      <c r="K22" s="1" t="s">
        <v>11</v>
      </c>
      <c r="L22" s="1" t="s">
        <v>12</v>
      </c>
      <c r="O22" s="1"/>
      <c r="P22" s="1" t="s">
        <v>9</v>
      </c>
      <c r="Q22" s="1" t="s">
        <v>10</v>
      </c>
      <c r="R22" s="1" t="s">
        <v>11</v>
      </c>
      <c r="S22" s="1" t="s">
        <v>12</v>
      </c>
      <c r="V22" s="1"/>
      <c r="W22" s="1" t="s">
        <v>9</v>
      </c>
      <c r="X22" s="1" t="s">
        <v>10</v>
      </c>
      <c r="Y22" s="1" t="s">
        <v>11</v>
      </c>
      <c r="Z22" s="1" t="s">
        <v>12</v>
      </c>
      <c r="AC22" s="1"/>
      <c r="AD22" s="1" t="s">
        <v>9</v>
      </c>
      <c r="AE22" s="1" t="s">
        <v>10</v>
      </c>
      <c r="AF22" s="1" t="s">
        <v>11</v>
      </c>
      <c r="AG22" s="1" t="s">
        <v>12</v>
      </c>
      <c r="AJ22" s="1"/>
      <c r="AK22" s="1" t="s">
        <v>9</v>
      </c>
      <c r="AL22" s="1" t="s">
        <v>10</v>
      </c>
      <c r="AM22" s="1" t="s">
        <v>11</v>
      </c>
      <c r="AN22" s="1" t="s">
        <v>12</v>
      </c>
      <c r="AQ22" s="1"/>
      <c r="AR22" s="1" t="s">
        <v>9</v>
      </c>
      <c r="AS22" s="1" t="s">
        <v>10</v>
      </c>
      <c r="AT22" s="1" t="s">
        <v>11</v>
      </c>
      <c r="AU22" s="1" t="s">
        <v>12</v>
      </c>
      <c r="AX22" s="1"/>
      <c r="AY22" s="1" t="s">
        <v>9</v>
      </c>
      <c r="AZ22" s="1" t="s">
        <v>10</v>
      </c>
      <c r="BA22" s="1" t="s">
        <v>11</v>
      </c>
      <c r="BB22" s="1" t="s">
        <v>12</v>
      </c>
      <c r="BE22" s="1"/>
      <c r="BF22" s="1" t="s">
        <v>9</v>
      </c>
      <c r="BG22" s="1" t="s">
        <v>10</v>
      </c>
      <c r="BH22" s="1" t="s">
        <v>11</v>
      </c>
      <c r="BI22" s="1" t="s">
        <v>12</v>
      </c>
      <c r="BL22" s="1"/>
      <c r="BM22" s="1" t="s">
        <v>9</v>
      </c>
      <c r="BN22" s="1" t="s">
        <v>10</v>
      </c>
      <c r="BO22" s="1" t="s">
        <v>11</v>
      </c>
      <c r="BP22" s="1" t="s">
        <v>12</v>
      </c>
      <c r="BS22" s="1"/>
      <c r="BT22" s="1" t="s">
        <v>9</v>
      </c>
      <c r="BU22" s="1" t="s">
        <v>10</v>
      </c>
      <c r="BV22" s="1" t="s">
        <v>11</v>
      </c>
      <c r="BW22" s="1" t="s">
        <v>12</v>
      </c>
      <c r="BZ22" s="1"/>
      <c r="CA22" s="1" t="s">
        <v>9</v>
      </c>
      <c r="CB22" s="1" t="s">
        <v>10</v>
      </c>
      <c r="CC22" s="1" t="s">
        <v>11</v>
      </c>
      <c r="CD22" s="1" t="s">
        <v>12</v>
      </c>
      <c r="CG22" s="1"/>
      <c r="CH22" s="1" t="s">
        <v>9</v>
      </c>
      <c r="CI22" s="1" t="s">
        <v>10</v>
      </c>
      <c r="CJ22" s="1" t="s">
        <v>11</v>
      </c>
      <c r="CK22" s="1" t="s">
        <v>12</v>
      </c>
      <c r="CN22" s="1"/>
      <c r="CO22" s="1" t="s">
        <v>9</v>
      </c>
      <c r="CP22" s="1" t="s">
        <v>10</v>
      </c>
      <c r="CQ22" s="1" t="s">
        <v>11</v>
      </c>
      <c r="CR22" s="1" t="s">
        <v>12</v>
      </c>
      <c r="CU22" s="1"/>
      <c r="CV22" s="1" t="s">
        <v>9</v>
      </c>
      <c r="CW22" s="1" t="s">
        <v>10</v>
      </c>
      <c r="CX22" s="1" t="s">
        <v>11</v>
      </c>
      <c r="CY22" s="1" t="s">
        <v>12</v>
      </c>
      <c r="DB22" s="1"/>
      <c r="DC22" s="1" t="s">
        <v>9</v>
      </c>
      <c r="DD22" s="1" t="s">
        <v>10</v>
      </c>
      <c r="DE22" s="1" t="s">
        <v>11</v>
      </c>
      <c r="DF22" s="1" t="s">
        <v>12</v>
      </c>
    </row>
    <row r="23" spans="1:111" x14ac:dyDescent="0.25">
      <c r="B23" t="s">
        <v>14</v>
      </c>
      <c r="C23" s="3">
        <v>0.1</v>
      </c>
      <c r="H23" s="1" t="s">
        <v>0</v>
      </c>
      <c r="I23" s="1" t="str">
        <f>IF(B14="x","N/A",$B$8*($C$21*IF(B13="x",B14,B13)+$C$22*IF(A14="x",B14,A14)+$C$23*IF(C14="x",B14,C14))+$B$9)</f>
        <v>N/A</v>
      </c>
      <c r="J23" s="1" t="str">
        <f>IF(B14="x","N/A",$B$8*($C$21*IF(C14="x",B14,C14)+$C$22*IF(B13="x",B14,B13)+$C$23*IF(B15="x",B14,B15))+$B$9)</f>
        <v>N/A</v>
      </c>
      <c r="K23" s="1" t="str">
        <f>IF(B14="x","N/A",$B$8*($C$21*IF(B15="x",B14,B15)+$C$22*IF(A14="x",B14,A14)+$C$23*IF(C14="x",B14,C14))+$B$9)</f>
        <v>N/A</v>
      </c>
      <c r="L23" s="1" t="str">
        <f>IF(B14="x","N/A",$B$8*($C$21*IF(A14="x",B14,A14)+$C$22*IF(B13="x",B14,B13)+$C$23*IF(B15="x",B14,B15))+$B$9)</f>
        <v>N/A</v>
      </c>
      <c r="O23" s="1" t="s">
        <v>0</v>
      </c>
      <c r="P23" s="1" t="str">
        <f>IF(I14="x","N/A",$B$8*($C$21*IF(I13="x",I14,I13)+$C$22*IF(H14="x",I14,H14)+$C$23*IF(J14="x",I14,J14))+$B$9)</f>
        <v>N/A</v>
      </c>
      <c r="Q23" s="1" t="str">
        <f>IF(I14="x","N/A",$B$8*($C$21*IF(J14="x",I14,J14)+$C$22*IF(I13="x",I14,I13)+$C$23*IF(I15="x",I14,I15))+$B$9)</f>
        <v>N/A</v>
      </c>
      <c r="R23" s="1" t="str">
        <f>IF(I14="x","N/A",$B$8*($C$21*IF(I15="x",I14,I15)+$C$22*IF(H14="x",I14,H14)+$C$23*IF(J14="x",I14,J14))+$B$9)</f>
        <v>N/A</v>
      </c>
      <c r="S23" s="1" t="str">
        <f>IF(I14="x","N/A",$B$8*($C$21*IF(H14="x",I14,H14)+$C$22*IF(I13="x",I14,I13)+$C$23*IF(I15="x",I14,I15))+$B$9)</f>
        <v>N/A</v>
      </c>
      <c r="V23" s="1" t="s">
        <v>0</v>
      </c>
      <c r="W23" s="1" t="str">
        <f>IF(P14="x","N/A",$B$8*($C$21*IF(P13="x",P14,P13)+$C$22*IF(O14="x",P14,O14)+$C$23*IF(Q14="x",P14,Q14))+$B$9)</f>
        <v>N/A</v>
      </c>
      <c r="X23" s="1" t="str">
        <f>IF(P14="x","N/A",$B$8*($C$21*IF(Q14="x",P14,Q14)+$C$22*IF(P13="x",P14,P13)+$C$23*IF(P15="x",P14,P15))+$B$9)</f>
        <v>N/A</v>
      </c>
      <c r="Y23" s="1" t="str">
        <f>IF(P14="x","N/A",$B$8*($C$21*IF(P15="x",P14,P15)+$C$22*IF(O14="x",P14,O14)+$C$23*IF(Q14="x",P14,Q14))+$B$9)</f>
        <v>N/A</v>
      </c>
      <c r="Z23" s="1" t="str">
        <f>IF(P14="x","N/A",$B$8*($C$21*IF(O14="x",P14,O14)+$C$22*IF(P13="x",P14,P13)+$C$23*IF(P15="x",P14,P15))+$B$9)</f>
        <v>N/A</v>
      </c>
      <c r="AC23" s="1" t="s">
        <v>0</v>
      </c>
      <c r="AD23" s="1" t="str">
        <f>IF(W14="x","N/A",$B$8*($C$21*IF(W13="x",W14,W13)+$C$22*IF(V14="x",W14,V14)+$C$23*IF(X14="x",W14,X14))+$B$9)</f>
        <v>N/A</v>
      </c>
      <c r="AE23" s="1" t="str">
        <f>IF(W14="x","N/A",$B$8*($C$21*IF(X14="x",W14,X14)+$C$22*IF(W13="x",W14,W13)+$C$23*IF(W15="x",W14,W15))+$B$9)</f>
        <v>N/A</v>
      </c>
      <c r="AF23" s="1" t="str">
        <f>IF(W14="x","N/A",$B$8*($C$21*IF(W15="x",W14,W15)+$C$22*IF(V14="x",W14,V14)+$C$23*IF(X14="x",W14,X14))+$B$9)</f>
        <v>N/A</v>
      </c>
      <c r="AG23" s="1" t="str">
        <f>IF(W14="x","N/A",$B$8*($C$21*IF(V14="x",W14,V14)+$C$22*IF(W13="x",W14,W13)+$C$23*IF(W15="x",W14,W15))+$B$9)</f>
        <v>N/A</v>
      </c>
      <c r="AJ23" s="1" t="s">
        <v>0</v>
      </c>
      <c r="AK23" s="1" t="str">
        <f>IF(AD14="x","N/A",$B$8*($C$21*IF(AD13="x",AD14,AD13)+$C$22*IF(AC14="x",AD14,AC14)+$C$23*IF(AE14="x",AD14,AE14))+$B$9)</f>
        <v>N/A</v>
      </c>
      <c r="AL23" s="1" t="str">
        <f>IF(AD14="x","N/A",$B$8*($C$21*IF(AE14="x",AD14,AE14)+$C$22*IF(AD13="x",AD14,AD13)+$C$23*IF(AD15="x",AD14,AD15))+$B$9)</f>
        <v>N/A</v>
      </c>
      <c r="AM23" s="1" t="str">
        <f>IF(AD14="x","N/A",$B$8*($C$21*IF(AD15="x",AD14,AD15)+$C$22*IF(AC14="x",AD14,AC14)+$C$23*IF(AE14="x",AD14,AE14))+$B$9)</f>
        <v>N/A</v>
      </c>
      <c r="AN23" s="1" t="str">
        <f>IF(AD14="x","N/A",$B$8*($C$21*IF(AC14="x",AD14,AC14)+$C$22*IF(AD13="x",AD14,AD13)+$C$23*IF(AD15="x",AD14,AD15))+$B$9)</f>
        <v>N/A</v>
      </c>
      <c r="AQ23" s="1" t="s">
        <v>0</v>
      </c>
      <c r="AR23" s="1" t="str">
        <f>IF(AK14="x","N/A",$B$8*($C$21*IF(AK13="x",AK14,AK13)+$C$22*IF(AJ14="x",AK14,AJ14)+$C$23*IF(AL14="x",AK14,AL14))+$B$9)</f>
        <v>N/A</v>
      </c>
      <c r="AS23" s="1" t="str">
        <f>IF(AK14="x","N/A",$B$8*($C$21*IF(AL14="x",AK14,AL14)+$C$22*IF(AK13="x",AK14,AK13)+$C$23*IF(AK15="x",AK14,AK15))+$B$9)</f>
        <v>N/A</v>
      </c>
      <c r="AT23" s="1" t="str">
        <f>IF(AK14="x","N/A",$B$8*($C$21*IF(AK15="x",AK14,AK15)+$C$22*IF(AJ14="x",AK14,AJ14)+$C$23*IF(AL14="x",AK14,AL14))+$B$9)</f>
        <v>N/A</v>
      </c>
      <c r="AU23" s="1" t="str">
        <f>IF(AK14="x","N/A",$B$8*($C$21*IF(AJ14="x",AK14,AJ14)+$C$22*IF(AK13="x",AK14,AK13)+$C$23*IF(AK15="x",AK14,AK15))+$B$9)</f>
        <v>N/A</v>
      </c>
      <c r="AX23" s="1" t="s">
        <v>0</v>
      </c>
      <c r="AY23" s="1" t="str">
        <f>IF(AR14="x","N/A",$B$8*($C$21*IF(AR13="x",AR14,AR13)+$C$22*IF(AQ14="x",AR14,AQ14)+$C$23*IF(AS14="x",AR14,AS14))+$B$9)</f>
        <v>N/A</v>
      </c>
      <c r="AZ23" s="1" t="str">
        <f>IF(AR14="x","N/A",$B$8*($C$21*IF(AS14="x",AR14,AS14)+$C$22*IF(AR13="x",AR14,AR13)+$C$23*IF(AR15="x",AR14,AR15))+$B$9)</f>
        <v>N/A</v>
      </c>
      <c r="BA23" s="1" t="str">
        <f>IF(AR14="x","N/A",$B$8*($C$21*IF(AR15="x",AR14,AR15)+$C$22*IF(AQ14="x",AR14,AQ14)+$C$23*IF(AS14="x",AR14,AS14))+$B$9)</f>
        <v>N/A</v>
      </c>
      <c r="BB23" s="1" t="str">
        <f>IF(AR14="x","N/A",$B$8*($C$21*IF(AQ14="x",AR14,AQ14)+$C$22*IF(AR13="x",AR14,AR13)+$C$23*IF(AR15="x",AR14,AR15))+$B$9)</f>
        <v>N/A</v>
      </c>
      <c r="BE23" s="1" t="s">
        <v>0</v>
      </c>
      <c r="BF23" s="1" t="str">
        <f>IF(AY14="x","N/A",$B$8*($C$21*IF(AY13="x",AY14,AY13)+$C$22*IF(AX14="x",AY14,AX14)+$C$23*IF(AZ14="x",AY14,AZ14))+$B$9)</f>
        <v>N/A</v>
      </c>
      <c r="BG23" s="1" t="str">
        <f>IF(AY14="x","N/A",$B$8*($C$21*IF(AZ14="x",AY14,AZ14)+$C$22*IF(AY13="x",AY14,AY13)+$C$23*IF(AY15="x",AY14,AY15))+$B$9)</f>
        <v>N/A</v>
      </c>
      <c r="BH23" s="1" t="str">
        <f>IF(AY14="x","N/A",$B$8*($C$21*IF(AY15="x",AY14,AY15)+$C$22*IF(AX14="x",AY14,AX14)+$C$23*IF(AZ14="x",AY14,AZ14))+$B$9)</f>
        <v>N/A</v>
      </c>
      <c r="BI23" s="1" t="str">
        <f>IF(AY14="x","N/A",$B$8*($C$21*IF(AX14="x",AY14,AX14)+$C$22*IF(AY13="x",AY14,AY13)+$C$23*IF(AY15="x",AY14,AY15))+$B$9)</f>
        <v>N/A</v>
      </c>
      <c r="BL23" s="1" t="s">
        <v>0</v>
      </c>
      <c r="BM23" s="1" t="str">
        <f>IF(BF14="x","N/A",$B$8*($C$21*IF(BF13="x",BF14,BF13)+$C$22*IF(BE14="x",BF14,BE14)+$C$23*IF(BG14="x",BF14,BG14))+$B$9)</f>
        <v>N/A</v>
      </c>
      <c r="BN23" s="1" t="str">
        <f>IF(BF14="x","N/A",$B$8*($C$21*IF(BG14="x",BF14,BG14)+$C$22*IF(BF13="x",BF14,BF13)+$C$23*IF(BF15="x",BF14,BF15))+$B$9)</f>
        <v>N/A</v>
      </c>
      <c r="BO23" s="1" t="str">
        <f>IF(BF14="x","N/A",$B$8*($C$21*IF(BF15="x",BF14,BF15)+$C$22*IF(BE14="x",BF14,BE14)+$C$23*IF(BG14="x",BF14,BG14))+$B$9)</f>
        <v>N/A</v>
      </c>
      <c r="BP23" s="1" t="str">
        <f>IF(BF14="x","N/A",$B$8*($C$21*IF(BE14="x",BF14,BE14)+$C$22*IF(BF13="x",BF14,BF13)+$C$23*IF(BF15="x",BF14,BF15))+$B$9)</f>
        <v>N/A</v>
      </c>
      <c r="BS23" s="1" t="s">
        <v>0</v>
      </c>
      <c r="BT23" s="1" t="str">
        <f>IF(BM14="x","N/A",$B$8*($C$21*IF(BM13="x",BM14,BM13)+$C$22*IF(BL14="x",BM14,BL14)+$C$23*IF(BN14="x",BM14,BN14))+$B$9)</f>
        <v>N/A</v>
      </c>
      <c r="BU23" s="1" t="str">
        <f>IF(BM14="x","N/A",$B$8*($C$21*IF(BN14="x",BM14,BN14)+$C$22*IF(BM13="x",BM14,BM13)+$C$23*IF(BM15="x",BM14,BM15))+$B$9)</f>
        <v>N/A</v>
      </c>
      <c r="BV23" s="1" t="str">
        <f>IF(BM14="x","N/A",$B$8*($C$21*IF(BM15="x",BM14,BM15)+$C$22*IF(BL14="x",BM14,BL14)+$C$23*IF(BN14="x",BM14,BN14))+$B$9)</f>
        <v>N/A</v>
      </c>
      <c r="BW23" s="1" t="str">
        <f>IF(BM14="x","N/A",$B$8*($C$21*IF(BL14="x",BM14,BL14)+$C$22*IF(BM13="x",BM14,BM13)+$C$23*IF(BM15="x",BM14,BM15))+$B$9)</f>
        <v>N/A</v>
      </c>
      <c r="BZ23" s="1" t="s">
        <v>0</v>
      </c>
      <c r="CA23" s="1" t="str">
        <f>IF(BT14="x","N/A",$B$8*($C$21*IF(BT13="x",BT14,BT13)+$C$22*IF(BS14="x",BT14,BS14)+$C$23*IF(BU14="x",BT14,BU14))+$B$9)</f>
        <v>N/A</v>
      </c>
      <c r="CB23" s="1" t="str">
        <f>IF(BT14="x","N/A",$B$8*($C$21*IF(BU14="x",BT14,BU14)+$C$22*IF(BT13="x",BT14,BT13)+$C$23*IF(BT15="x",BT14,BT15))+$B$9)</f>
        <v>N/A</v>
      </c>
      <c r="CC23" s="1" t="str">
        <f>IF(BT14="x","N/A",$B$8*($C$21*IF(BT15="x",BT14,BT15)+$C$22*IF(BS14="x",BT14,BS14)+$C$23*IF(BU14="x",BT14,BU14))+$B$9)</f>
        <v>N/A</v>
      </c>
      <c r="CD23" s="1" t="str">
        <f>IF(BT14="x","N/A",$B$8*($C$21*IF(BS14="x",BT14,BS14)+$C$22*IF(BT13="x",BT14,BT13)+$C$23*IF(BT15="x",BT14,BT15))+$B$9)</f>
        <v>N/A</v>
      </c>
      <c r="CG23" s="1" t="s">
        <v>0</v>
      </c>
      <c r="CH23" s="1" t="str">
        <f>IF(CA14="x","N/A",$B$8*($C$21*IF(CA13="x",CA14,CA13)+$C$22*IF(BZ14="x",CA14,BZ14)+$C$23*IF(CB14="x",CA14,CB14))+$B$9)</f>
        <v>N/A</v>
      </c>
      <c r="CI23" s="1" t="str">
        <f>IF(CA14="x","N/A",$B$8*($C$21*IF(CB14="x",CA14,CB14)+$C$22*IF(CA13="x",CA14,CA13)+$C$23*IF(CA15="x",CA14,CA15))+$B$9)</f>
        <v>N/A</v>
      </c>
      <c r="CJ23" s="1" t="str">
        <f>IF(CA14="x","N/A",$B$8*($C$21*IF(CA15="x",CA14,CA15)+$C$22*IF(BZ14="x",CA14,BZ14)+$C$23*IF(CB14="x",CA14,CB14))+$B$9)</f>
        <v>N/A</v>
      </c>
      <c r="CK23" s="1" t="str">
        <f>IF(CA14="x","N/A",$B$8*($C$21*IF(BZ14="x",CA14,BZ14)+$C$22*IF(CA13="x",CA14,CA13)+$C$23*IF(CA15="x",CA14,CA15))+$B$9)</f>
        <v>N/A</v>
      </c>
      <c r="CN23" s="1" t="s">
        <v>0</v>
      </c>
      <c r="CO23" s="1" t="str">
        <f>IF(CH14="x","N/A",$B$8*($C$21*IF(CH13="x",CH14,CH13)+$C$22*IF(CG14="x",CH14,CG14)+$C$23*IF(CI14="x",CH14,CI14))+$B$9)</f>
        <v>N/A</v>
      </c>
      <c r="CP23" s="1" t="str">
        <f>IF(CH14="x","N/A",$B$8*($C$21*IF(CI14="x",CH14,CI14)+$C$22*IF(CH13="x",CH14,CH13)+$C$23*IF(CH15="x",CH14,CH15))+$B$9)</f>
        <v>N/A</v>
      </c>
      <c r="CQ23" s="1" t="str">
        <f>IF(CH14="x","N/A",$B$8*($C$21*IF(CH15="x",CH14,CH15)+$C$22*IF(CG14="x",CH14,CG14)+$C$23*IF(CI14="x",CH14,CI14))+$B$9)</f>
        <v>N/A</v>
      </c>
      <c r="CR23" s="1" t="str">
        <f>IF(CH14="x","N/A",$B$8*($C$21*IF(CG14="x",CH14,CG14)+$C$22*IF(CH13="x",CH14,CH13)+$C$23*IF(CH15="x",CH14,CH15))+$B$9)</f>
        <v>N/A</v>
      </c>
      <c r="CU23" s="1" t="s">
        <v>0</v>
      </c>
      <c r="CV23" s="1" t="str">
        <f>IF(CO14="x","N/A",$B$8*($C$21*IF(CO13="x",CO14,CO13)+$C$22*IF(CN14="x",CO14,CN14)+$C$23*IF(CP14="x",CO14,CP14))+$B$9)</f>
        <v>N/A</v>
      </c>
      <c r="CW23" s="1" t="str">
        <f>IF(CO14="x","N/A",$B$8*($C$21*IF(CP14="x",CO14,CP14)+$C$22*IF(CO13="x",CO14,CO13)+$C$23*IF(CO15="x",CO14,CO15))+$B$9)</f>
        <v>N/A</v>
      </c>
      <c r="CX23" s="1" t="str">
        <f>IF(CO14="x","N/A",$B$8*($C$21*IF(CO15="x",CO14,CO15)+$C$22*IF(CN14="x",CO14,CN14)+$C$23*IF(CP14="x",CO14,CP14))+$B$9)</f>
        <v>N/A</v>
      </c>
      <c r="CY23" s="1" t="str">
        <f>IF(CO14="x","N/A",$B$8*($C$21*IF(CN14="x",CO14,CN14)+$C$22*IF(CO13="x",CO14,CO13)+$C$23*IF(CO15="x",CO14,CO15))+$B$9)</f>
        <v>N/A</v>
      </c>
      <c r="DB23" s="1" t="s">
        <v>0</v>
      </c>
      <c r="DC23" s="1" t="str">
        <f>IF(CV14="x","N/A",$B$8*($C$21*IF(CV13="x",CV14,CV13)+$C$22*IF(CU14="x",CV14,CU14)+$C$23*IF(CW14="x",CV14,CW14))+$B$9)</f>
        <v>N/A</v>
      </c>
      <c r="DD23" s="1" t="str">
        <f>IF(CV14="x","N/A",$B$8*($C$21*IF(CW14="x",CV14,CW14)+$C$22*IF(CV13="x",CV14,CV13)+$C$23*IF(CV15="x",CV14,CV15))+$B$9)</f>
        <v>N/A</v>
      </c>
      <c r="DE23" s="1" t="str">
        <f>IF(CV14="x","N/A",$B$8*($C$21*IF(CV15="x",CV14,CV15)+$C$22*IF(CU14="x",CV14,CU14)+$C$23*IF(CW14="x",CV14,CW14))+$B$9)</f>
        <v>N/A</v>
      </c>
      <c r="DF23" s="1" t="str">
        <f>IF(CV14="x","N/A",$B$8*($C$21*IF(CU14="x",CV14,CU14)+$C$22*IF(CV13="x",CV14,CV13)+$C$23*IF(CV15="x",CV14,CV15))+$B$9)</f>
        <v>N/A</v>
      </c>
    </row>
    <row r="24" spans="1:111" x14ac:dyDescent="0.25">
      <c r="B24" t="s">
        <v>15</v>
      </c>
      <c r="H24" s="1" t="s">
        <v>1</v>
      </c>
      <c r="I24" s="1">
        <f>IF(B15="x","N/A",$B$8*($C$21*IF(B14="x",B15,B14)+$C$22*IF(A15="x",B15,A15)+$C$23*IF(C15="x",B15,C15))+$B$9)</f>
        <v>-0.99</v>
      </c>
      <c r="J24" s="1">
        <f>IF(B15="x","N/A",$B$8*($C$21*IF(C15="x",B15,C15)+$C$22*IF(B14="x",B15,B14)+$C$23*IF(B16="x",B15,B16))+$B$9)</f>
        <v>-0.99</v>
      </c>
      <c r="K24" s="1">
        <f>IF(B15="x","N/A",$B$8*($C$21*IF(B16="x",B15,B16)+$C$22*IF(A15="x",B15,A15)+$C$23*IF(C15="x",B15,C15))+$B$9)</f>
        <v>-0.99</v>
      </c>
      <c r="L24" s="1">
        <f>IF(B15="x","N/A",$B$8*($C$21*IF(A15="x",B15,A15)+$C$22*IF(B14="x",B15,B14)+$C$23*IF(B16="x",B15,B16))+$B$9)</f>
        <v>-0.99</v>
      </c>
      <c r="O24" s="1" t="s">
        <v>1</v>
      </c>
      <c r="P24" s="1">
        <f>IF(I15="x","N/A",$B$8*($C$21*IF(I14="x",I15,I14)+$C$22*IF(H15="x",I15,H15)+$C$23*IF(J15="x",I15,J15))+$B$9)</f>
        <v>-1.98</v>
      </c>
      <c r="Q24" s="1">
        <f>IF(I15="x","N/A",$B$8*($C$21*IF(J15="x",I15,J15)+$C$22*IF(I14="x",I15,I14)+$C$23*IF(I16="x",I15,I16))+$B$9)</f>
        <v>-1.98</v>
      </c>
      <c r="R24" s="1">
        <f>IF(I15="x","N/A",$B$8*($C$21*IF(I16="x",I15,I16)+$C$22*IF(H15="x",I15,H15)+$C$23*IF(J15="x",I15,J15))+$B$9)</f>
        <v>-1.98</v>
      </c>
      <c r="S24" s="1">
        <f>IF(I15="x","N/A",$B$8*($C$21*IF(H15="x",I15,H15)+$C$22*IF(I14="x",I15,I14)+$C$23*IF(I16="x",I15,I16))+$B$9)</f>
        <v>-1.98</v>
      </c>
      <c r="V24" s="1" t="s">
        <v>1</v>
      </c>
      <c r="W24" s="1">
        <f>IF(P15="x","N/A",$B$8*($C$21*IF(P14="x",P15,P14)+$C$22*IF(O15="x",P15,O15)+$C$23*IF(Q15="x",P15,Q15))+$B$9)</f>
        <v>-2.9699999999999998</v>
      </c>
      <c r="X24" s="1">
        <f>IF(P15="x","N/A",$B$8*($C$21*IF(Q15="x",P15,Q15)+$C$22*IF(P14="x",P15,P14)+$C$23*IF(P16="x",P15,P16))+$B$9)</f>
        <v>-2.9699999999999998</v>
      </c>
      <c r="Y24" s="1">
        <f>IF(P15="x","N/A",$B$8*($C$21*IF(P16="x",P15,P16)+$C$22*IF(O15="x",P15,O15)+$C$23*IF(Q15="x",P15,Q15))+$B$9)</f>
        <v>-2.9699999999999998</v>
      </c>
      <c r="Z24" s="1">
        <f>IF(P15="x","N/A",$B$8*($C$21*IF(O15="x",P15,O15)+$C$22*IF(P14="x",P15,P14)+$C$23*IF(P16="x",P15,P16))+$B$9)</f>
        <v>-2.9699999999999998</v>
      </c>
      <c r="AC24" s="1" t="s">
        <v>1</v>
      </c>
      <c r="AD24" s="1">
        <f>IF(W15="x","N/A",$B$8*($C$21*IF(W14="x",W15,W14)+$C$22*IF(V15="x",W15,V15)+$C$23*IF(X15="x",W15,X15))+$B$9)</f>
        <v>-3.9088000000000003</v>
      </c>
      <c r="AE24" s="1">
        <f>IF(W15="x","N/A",$B$8*($C$21*IF(X15="x",W15,X15)+$C$22*IF(W14="x",W15,W14)+$C$23*IF(W16="x",W15,W16))+$B$9)</f>
        <v>-3.5503999999999998</v>
      </c>
      <c r="AF24" s="1">
        <f>IF(W15="x","N/A",$B$8*($C$21*IF(W16="x",W15,W16)+$C$22*IF(V15="x",W15,V15)+$C$23*IF(X15="x",W15,X15))+$B$9)</f>
        <v>-3.9088000000000003</v>
      </c>
      <c r="AG24" s="1">
        <f>IF(W15="x","N/A",$B$8*($C$21*IF(V15="x",W15,V15)+$C$22*IF(W14="x",W15,W14)+$C$23*IF(W16="x",W15,W16))+$B$9)</f>
        <v>-3.96</v>
      </c>
      <c r="AJ24" s="1" t="s">
        <v>1</v>
      </c>
      <c r="AK24" s="1">
        <f>IF(AD15="x","N/A",$B$8*($C$21*IF(AD14="x",AD15,AD14)+$C$22*IF(AC15="x",AD15,AC15)+$C$23*IF(AE15="x",AD15,AE15))+$B$9)</f>
        <v>-4.4538719999999996</v>
      </c>
      <c r="AL24" s="1">
        <f>IF(AD15="x","N/A",$B$8*($C$21*IF(AE15="x",AD15,AE15)+$C$22*IF(AD14="x",AD15,AD14)+$C$23*IF(AD16="x",AD15,AD16))+$B$9)</f>
        <v>-3.8891360000000006</v>
      </c>
      <c r="AM24" s="1">
        <f>IF(AD15="x","N/A",$B$8*($C$21*IF(AD16="x",AD15,AD16)+$C$22*IF(AC15="x",AD15,AC15)+$C$23*IF(AE15="x",AD15,AE15))+$B$9)</f>
        <v>-4.7815519999999996</v>
      </c>
      <c r="AN24" s="1">
        <f>IF(AD15="x","N/A",$B$8*($C$21*IF(AC15="x",AD15,AC15)+$C$22*IF(AD14="x",AD15,AD14)+$C$23*IF(AD16="x",AD15,AD16))+$B$9)</f>
        <v>-4.5813600000000001</v>
      </c>
      <c r="AQ24" s="1" t="s">
        <v>1</v>
      </c>
      <c r="AR24" s="1">
        <f>IF(AK15="x","N/A",$B$8*($C$21*IF(AK14="x",AK15,AK14)+$C$22*IF(AJ15="x",AK15,AJ15)+$C$23*IF(AL15="x",AK15,AL15))+$B$9)</f>
        <v>-4.7689024000000009</v>
      </c>
      <c r="AS24" s="1">
        <f>IF(AK15="x","N/A",$B$8*($C$21*IF(AL15="x",AK15,AL15)+$C$22*IF(AK14="x",AK15,AK14)+$C$23*IF(AK16="x",AK15,AK16))+$B$9)</f>
        <v>-4.0705856000000002</v>
      </c>
      <c r="AT24" s="1">
        <f>IF(AK15="x","N/A",$B$8*($C$21*IF(AK16="x",AK15,AK16)+$C$22*IF(AJ15="x",AK15,AJ15)+$C$23*IF(AL15="x",AK15,AL15))+$B$9)</f>
        <v>-5.3554496</v>
      </c>
      <c r="AU24" s="1">
        <f>IF(AK15="x","N/A",$B$8*($C$21*IF(AJ15="x",AK15,AJ15)+$C$22*IF(AK14="x",AK15,AK14)+$C$23*IF(AK16="x",AK15,AK16))+$B$9)</f>
        <v>-4.9524544000000006</v>
      </c>
      <c r="AX24" s="1" t="s">
        <v>1</v>
      </c>
      <c r="AY24" s="1">
        <f>IF(AR15="x","N/A",$B$8*($C$21*IF(AR14="x",AR15,AR14)+$C$22*IF(AQ15="x",AR15,AQ15)+$C$23*IF(AS15="x",AR15,AS15))+$B$9)</f>
        <v>-4.9367174400000007</v>
      </c>
      <c r="AZ24" s="1">
        <f>IF(AR15="x","N/A",$B$8*($C$21*IF(AS15="x",AR15,AS15)+$C$22*IF(AR14="x",AR15,AR14)+$C$23*IF(AR16="x",AR15,AR16))+$B$9)</f>
        <v>-4.1651590399999998</v>
      </c>
      <c r="BA24" s="1">
        <f>IF(AR15="x","N/A",$B$8*($C$21*IF(AR16="x",AR15,AR16)+$C$22*IF(AQ15="x",AR15,AQ15)+$C$23*IF(AS15="x",AR15,AS15))+$B$9)</f>
        <v>-5.7008672000000011</v>
      </c>
      <c r="BB24" s="1">
        <f>IF(AR15="x","N/A",$B$8*($C$21*IF(AQ15="x",AR15,AQ15)+$C$22*IF(AR14="x",AR15,AR14)+$C$23*IF(AR16="x",AR15,AR16))+$B$9)</f>
        <v>-5.1561043200000007</v>
      </c>
      <c r="BE24" s="1" t="s">
        <v>1</v>
      </c>
      <c r="BF24" s="1">
        <f>IF(AY15="x","N/A",$B$8*($C$21*IF(AY14="x",AY15,AY14)+$C$22*IF(AX15="x",AY15,AX15)+$C$23*IF(AZ15="x",AY15,AZ15))+$B$9)</f>
        <v>-5.023816192</v>
      </c>
      <c r="BG24" s="1">
        <f>IF(AY15="x","N/A",$B$8*($C$21*IF(AZ15="x",AY15,AZ15)+$C$22*IF(AY14="x",AY15,AY14)+$C$23*IF(AY16="x",AY15,AY16))+$B$9)</f>
        <v>-4.2130626560000008</v>
      </c>
      <c r="BH24" s="1">
        <f>IF(AY15="x","N/A",$B$8*($C$21*IF(AY16="x",AY15,AY16)+$C$22*IF(AX15="x",AY15,AX15)+$C$23*IF(AZ15="x",AY15,AZ15))+$B$9)</f>
        <v>-5.8929873920000002</v>
      </c>
      <c r="BI24" s="1">
        <f>IF(AY15="x","N/A",$B$8*($C$21*IF(AX15="x",AY15,AX15)+$C$22*IF(AY14="x",AY15,AY14)+$C$23*IF(AY16="x",AY15,AY16))+$B$9)</f>
        <v>-5.2638054400000005</v>
      </c>
      <c r="BL24" s="1" t="s">
        <v>1</v>
      </c>
      <c r="BM24" s="1">
        <f>IF(BF15="x","N/A",$B$8*($C$21*IF(BF14="x",BF15,BF14)+$C$22*IF(BE15="x",BF15,BE15)+$C$23*IF(BG15="x",BF15,BG15))+$B$9)</f>
        <v>-5.0677987584000013</v>
      </c>
      <c r="BN24" s="1">
        <f>IF(BF15="x","N/A",$B$8*($C$21*IF(BG15="x",BF15,BG15)+$C$22*IF(BF14="x",BF15,BF14)+$C$23*IF(BF16="x",BF15,BF16))+$B$9)</f>
        <v>-4.2368903936000004</v>
      </c>
      <c r="BO24" s="1">
        <f>IF(BF15="x","N/A",$B$8*($C$21*IF(BF16="x",BF15,BF16)+$C$22*IF(BE15="x",BF15,BE15)+$C$23*IF(BG15="x",BF15,BG15))+$B$9)</f>
        <v>-5.9953101056000007</v>
      </c>
      <c r="BP24" s="1">
        <f>IF(BF15="x","N/A",$B$8*($C$21*IF(BE15="x",BF15,BE15)+$C$22*IF(BF14="x",BF15,BF14)+$C$23*IF(BF16="x",BF15,BF16))+$B$9)</f>
        <v>-5.3190015744000014</v>
      </c>
      <c r="BS24" s="1" t="s">
        <v>1</v>
      </c>
      <c r="BT24" s="1">
        <f>IF(BM15="x","N/A",$B$8*($C$21*IF(BM14="x",BM15,BM14)+$C$22*IF(BL15="x",BM15,BL15)+$C$23*IF(BN15="x",BM15,BN15))+$B$9)</f>
        <v>-5.0896242534400011</v>
      </c>
      <c r="BU24" s="1">
        <f>IF(BM15="x","N/A",$B$8*($C$21*IF(BN15="x",BM15,BN15)+$C$22*IF(BM14="x",BM15,BM14)+$C$23*IF(BM16="x",BM15,BM16))+$B$9)</f>
        <v>-4.2485662822400005</v>
      </c>
      <c r="BV24" s="1">
        <f>IF(BM15="x","N/A",$B$8*($C$21*IF(BM16="x",BM15,BM16)+$C$22*IF(BL15="x",BM15,BL15)+$C$23*IF(BN15="x",BM15,BN15))+$B$9)</f>
        <v>-6.048064332800001</v>
      </c>
      <c r="BW24" s="1">
        <f>IF(BM15="x","N/A",$B$8*($C$21*IF(BL15="x",BM15,BL15)+$C$22*IF(BM14="x",BM15,BM14)+$C$23*IF(BM16="x",BM15,BM16))+$B$9)</f>
        <v>-5.3466954035200009</v>
      </c>
      <c r="BZ24" s="1" t="s">
        <v>1</v>
      </c>
      <c r="CA24" s="1">
        <f>IF(BT15="x","N/A",$B$8*($C$21*IF(BT14="x",BT15,BT14)+$C$22*IF(BS15="x",BT15,BS15)+$C$23*IF(BU15="x",BT15,BU15))+$B$9)</f>
        <v>-5.1002990269440005</v>
      </c>
      <c r="CB24" s="1">
        <f>IF(BT15="x","N/A",$B$8*($C$21*IF(BU15="x",BT15,BU15)+$C$22*IF(BT14="x",BT15,BT14)+$C$23*IF(BT16="x",BT15,BT16))+$B$9)</f>
        <v>-4.2542216529920003</v>
      </c>
      <c r="CC24" s="1">
        <f>IF(BT15="x","N/A",$B$8*($C$21*IF(BT16="x",BT15,BT16)+$C$22*IF(BS15="x",BT15,BS15)+$C$23*IF(BU15="x",BT15,BU15))+$B$9)</f>
        <v>-6.0746463319040016</v>
      </c>
      <c r="CD24" s="1">
        <f>IF(BT15="x","N/A",$B$8*($C$21*IF(BS15="x",BT15,BS15)+$C$22*IF(BT14="x",BT15,BT14)+$C$23*IF(BT16="x",BT15,BT16))+$B$9)</f>
        <v>-5.3603596953600006</v>
      </c>
      <c r="CG24" s="1" t="s">
        <v>1</v>
      </c>
      <c r="CH24" s="1">
        <f>IF(CA15="x","N/A",$B$8*($C$21*IF(CA14="x",CA15,CA14)+$C$22*IF(BZ15="x",CA15,BZ15)+$C$23*IF(CB15="x",CA15,CB15))+$B$9)</f>
        <v>-5.1054616657408012</v>
      </c>
      <c r="CI24" s="1">
        <f>IF(CA15="x","N/A",$B$8*($C$21*IF(CB15="x",CA15,CB15)+$C$22*IF(CA14="x",CA15,CA14)+$C$23*IF(CA16="x",CA15,CA16))+$B$9)</f>
        <v>-4.2569349005312001</v>
      </c>
      <c r="CJ24" s="1">
        <f>IF(CA15="x","N/A",$B$8*($C$21*IF(CA16="x",CA15,CA16)+$C$22*IF(BZ15="x",CA15,BZ15)+$C$23*IF(CB15="x",CA15,CB15))+$B$9)</f>
        <v>-6.0878068301312016</v>
      </c>
      <c r="CK24" s="1">
        <f>IF(CA15="x","N/A",$B$8*($C$21*IF(BZ15="x",CA15,BZ15)+$C$22*IF(CA14="x",CA15,CA14)+$C$23*IF(CA16="x",CA15,CA16))+$B$9)</f>
        <v>-5.3670147985408008</v>
      </c>
      <c r="CN24" s="1" t="s">
        <v>1</v>
      </c>
      <c r="CO24" s="1">
        <f>IF(CH15="x","N/A",$B$8*($C$21*IF(CH14="x",CH15,CH14)+$C$22*IF(CG15="x",CH15,CG15)+$C$23*IF(CI15="x",CH15,CI15))+$B$9)</f>
        <v>-5.1079354247116804</v>
      </c>
      <c r="CP24" s="1">
        <f>IF(CH15="x","N/A",$B$8*($C$21*IF(CI15="x",CH15,CI15)+$C$22*IF(CH14="x",CH15,CH14)+$C$23*IF(CH16="x",CH15,CH16))+$B$9)</f>
        <v>-4.2582263983308808</v>
      </c>
      <c r="CQ24" s="1">
        <f>IF(CH15="x","N/A",$B$8*($C$21*IF(CH16="x",CH15,CH16)+$C$22*IF(CG15="x",CH15,CG15)+$C$23*IF(CI15="x",CH15,CI15))+$B$9)</f>
        <v>-6.0942338595584005</v>
      </c>
      <c r="CR24" s="1">
        <f>IF(CH15="x","N/A",$B$8*($C$21*IF(CG15="x",CH15,CG15)+$C$22*IF(CH14="x",CH15,CH14)+$C$23*IF(CH16="x",CH15,CH16))+$B$9)</f>
        <v>-5.3702222048870407</v>
      </c>
      <c r="CU24" s="1" t="s">
        <v>1</v>
      </c>
      <c r="CV24" s="1">
        <f>IF(CO15="x","N/A",$B$8*($C$21*IF(CO14="x",CO15,CO14)+$C$22*IF(CN15="x",CO15,CN15)+$C$23*IF(CP15="x",CO15,CP15))+$B$9)</f>
        <v>-5.1091116931394573</v>
      </c>
      <c r="CW24" s="1">
        <f>IF(CO15="x","N/A",$B$8*($C$21*IF(CP15="x",CO15,CP15)+$C$22*IF(CO14="x",CO15,CO14)+$C$23*IF(CO16="x",CO15,CO16))+$B$9)</f>
        <v>-4.2588370678906884</v>
      </c>
      <c r="CX24" s="1">
        <f>IF(CO15="x","N/A",$B$8*($C$21*IF(CO16="x",CO15,CO16)+$C$22*IF(CN15="x",CO15,CN15)+$C$23*IF(CP15="x",CO15,CP15))+$B$9)</f>
        <v>-6.0973381818690573</v>
      </c>
      <c r="CY24" s="1">
        <f>IF(CO15="x","N/A",$B$8*($C$21*IF(CN15="x",CO15,CN15)+$C$22*IF(CO14="x",CO15,CO14)+$C$23*IF(CO16="x",CO15,CO16))+$B$9)</f>
        <v>-5.3717547094220812</v>
      </c>
      <c r="DB24" s="1" t="s">
        <v>1</v>
      </c>
      <c r="DC24" s="1">
        <f>IF(CV15="x","N/A",$B$8*($C$21*IF(CV14="x",CV15,CV14)+$C$22*IF(CU15="x",CV15,CU15)+$C$23*IF(CW15="x",CV15,CW15))+$B$9)</f>
        <v>-5.1096673822858758</v>
      </c>
      <c r="DD24" s="1">
        <f>IF(CV15="x","N/A",$B$8*($C$21*IF(CW15="x",CV15,CW15)+$C$22*IF(CV14="x",CV15,CV14)+$C$23*IF(CV16="x",CV15,CV16))+$B$9)</f>
        <v>-4.2591241783144458</v>
      </c>
      <c r="DE24" s="1">
        <f>IF(CV15="x","N/A",$B$8*($C$21*IF(CV16="x",CV15,CV16)+$C$22*IF(CU15="x",CV15,CU15)+$C$23*IF(CW15="x",CV15,CW15))+$B$9)</f>
        <v>-6.0988241443839506</v>
      </c>
      <c r="DF24" s="1">
        <f>IF(CV15="x","N/A",$B$8*($C$21*IF(CU15="x",CV15,CU15)+$C$22*IF(CV14="x",CV15,CV14)+$C$23*IF(CV16="x",CV15,CV16))+$B$9)</f>
        <v>-5.3724816631529482</v>
      </c>
    </row>
    <row r="25" spans="1:111" x14ac:dyDescent="0.25">
      <c r="H25" s="1" t="s">
        <v>2</v>
      </c>
      <c r="I25" s="1">
        <f>IF(B16="x","N/A",$B$8*($C$21*IF(B15="x",B16,B15)+$C$22*IF(A16="x",B16,A16)+$C$23*IF(C16="x",B16,C16))+$B$9)</f>
        <v>-0.99</v>
      </c>
      <c r="J25" s="1">
        <f>IF(B16="x","N/A",$B$8*($C$21*IF(C16="x",B16,C16)+$C$22*IF(B15="x",B16,B15)+$C$23*IF(B17="x",B16,B17))+$B$9)</f>
        <v>-0.99</v>
      </c>
      <c r="K25" s="1">
        <f>IF(B16="x","N/A",$B$8*($C$21*IF(B17="x",B16,B17)+$C$22*IF(A16="x",B16,A16)+$C$23*IF(C16="x",B16,C16))+$B$9)</f>
        <v>-0.99</v>
      </c>
      <c r="L25" s="1">
        <f>IF(B16="x","N/A",$B$8*($C$21*IF(A16="x",B16,A16)+$C$22*IF(B15="x",B16,B15)+$C$23*IF(B17="x",B16,B17))+$B$9)</f>
        <v>-0.99</v>
      </c>
      <c r="O25" s="1" t="s">
        <v>2</v>
      </c>
      <c r="P25" s="1">
        <f>IF(I16="x","N/A",$B$8*($C$21*IF(I15="x",I16,I15)+$C$22*IF(H16="x",I16,H16)+$C$23*IF(J16="x",I16,J16))+$B$9)</f>
        <v>-1.98</v>
      </c>
      <c r="Q25" s="1">
        <f>IF(I16="x","N/A",$B$8*($C$21*IF(J16="x",I16,J16)+$C$22*IF(I15="x",I16,I15)+$C$23*IF(I17="x",I16,I17))+$B$9)</f>
        <v>-1.98</v>
      </c>
      <c r="R25" s="1">
        <f>IF(I16="x","N/A",$B$8*($C$21*IF(I17="x",I16,I17)+$C$22*IF(H16="x",I16,H16)+$C$23*IF(J16="x",I16,J16))+$B$9)</f>
        <v>-1.98</v>
      </c>
      <c r="S25" s="1">
        <f>IF(I16="x","N/A",$B$8*($C$21*IF(H16="x",I16,H16)+$C$22*IF(I15="x",I16,I15)+$C$23*IF(I17="x",I16,I17))+$B$9)</f>
        <v>-1.98</v>
      </c>
      <c r="V25" s="1" t="s">
        <v>2</v>
      </c>
      <c r="W25" s="1">
        <f>IF(P16="x","N/A",$B$8*($C$21*IF(P15="x",P16,P15)+$C$22*IF(O16="x",P16,O16)+$C$23*IF(Q16="x",P16,Q16))+$B$9)</f>
        <v>-2.9699999999999998</v>
      </c>
      <c r="X25" s="1">
        <f>IF(P16="x","N/A",$B$8*($C$21*IF(Q16="x",P16,Q16)+$C$22*IF(P15="x",P16,P15)+$C$23*IF(P17="x",P16,P17))+$B$9)</f>
        <v>-2.9699999999999998</v>
      </c>
      <c r="Y25" s="1">
        <f>IF(P16="x","N/A",$B$8*($C$21*IF(P17="x",P16,P17)+$C$22*IF(O16="x",P16,O16)+$C$23*IF(Q16="x",P16,Q16))+$B$9)</f>
        <v>-2.9699999999999998</v>
      </c>
      <c r="Z25" s="1">
        <f>IF(P16="x","N/A",$B$8*($C$21*IF(O16="x",P16,O16)+$C$22*IF(P15="x",P16,P15)+$C$23*IF(P17="x",P16,P17))+$B$9)</f>
        <v>-2.9699999999999998</v>
      </c>
      <c r="AC25" s="1" t="s">
        <v>2</v>
      </c>
      <c r="AD25" s="1">
        <f>IF(W16="x","N/A",$B$8*($C$21*IF(W15="x",W16,W15)+$C$22*IF(V16="x",W16,V16)+$C$23*IF(X16="x",W16,X16))+$B$9)</f>
        <v>-3.96</v>
      </c>
      <c r="AE25" s="1">
        <f>IF(W16="x","N/A",$B$8*($C$21*IF(X16="x",W16,X16)+$C$22*IF(W15="x",W16,W15)+$C$23*IF(W17="x",W16,W17))+$B$9)</f>
        <v>-3.96</v>
      </c>
      <c r="AF25" s="1">
        <f>IF(W16="x","N/A",$B$8*($C$21*IF(W17="x",W16,W17)+$C$22*IF(V16="x",W16,V16)+$C$23*IF(X16="x",W16,X16))+$B$9)</f>
        <v>-3.96</v>
      </c>
      <c r="AG25" s="1">
        <f>IF(W16="x","N/A",$B$8*($C$21*IF(V16="x",W16,V16)+$C$22*IF(W15="x",W16,W15)+$C$23*IF(W17="x",W16,W17))+$B$9)</f>
        <v>-3.96</v>
      </c>
      <c r="AJ25" s="1" t="s">
        <v>2</v>
      </c>
      <c r="AK25" s="1">
        <f>IF(AD16="x","N/A",$B$8*($C$21*IF(AD15="x",AD16,AD15)+$C$22*IF(AC16="x",AD16,AC16)+$C$23*IF(AE16="x",AD16,AE16))+$B$9)</f>
        <v>-4.6223200000000002</v>
      </c>
      <c r="AL25" s="1">
        <f>IF(AD16="x","N/A",$B$8*($C$21*IF(AE16="x",AD16,AE16)+$C$22*IF(AD15="x",AD16,AD15)+$C$23*IF(AD17="x",AD16,AD17))+$B$9)</f>
        <v>-4.9090400000000001</v>
      </c>
      <c r="AM25" s="1">
        <f>IF(AD16="x","N/A",$B$8*($C$21*IF(AD17="x",AD16,AD17)+$C$22*IF(AC16="x",AD16,AC16)+$C$23*IF(AE16="x",AD16,AE16))+$B$9)</f>
        <v>-4.95</v>
      </c>
      <c r="AN25" s="1">
        <f>IF(AD16="x","N/A",$B$8*($C$21*IF(AC16="x",AD16,AC16)+$C$22*IF(AD15="x",AD16,AD15)+$C$23*IF(AD17="x",AD16,AD17))+$B$9)</f>
        <v>-4.9090400000000001</v>
      </c>
      <c r="AQ25" s="1" t="s">
        <v>2</v>
      </c>
      <c r="AR25" s="1">
        <f>IF(AK16="x","N/A",$B$8*($C$21*IF(AK15="x",AK16,AK15)+$C$22*IF(AJ16="x",AK16,AJ16)+$C$23*IF(AL16="x",AK16,AL16))+$B$9)</f>
        <v>-5.0257728000000013</v>
      </c>
      <c r="AS25" s="1">
        <f>IF(AK16="x","N/A",$B$8*($C$21*IF(AL16="x",AK16,AL16)+$C$22*IF(AK15="x",AK16,AK15)+$C$23*IF(AK17="x",AK16,AK17))+$B$9)</f>
        <v>-5.5717696000000005</v>
      </c>
      <c r="AT25" s="1">
        <f>IF(AK16="x","N/A",$B$8*($C$21*IF(AK17="x",AK16,AK17)+$C$22*IF(AJ16="x",AK16,AJ16)+$C$23*IF(AL16="x",AK16,AL16))+$B$9)</f>
        <v>-5.8744640000000006</v>
      </c>
      <c r="AU25" s="1">
        <f>IF(AK16="x","N/A",$B$8*($C$21*IF(AJ16="x",AK16,AJ16)+$C$22*IF(AK15="x",AK16,AK15)+$C$23*IF(AK17="x",AK16,AK17))+$B$9)</f>
        <v>-5.5717696000000005</v>
      </c>
      <c r="AX25" s="1" t="s">
        <v>2</v>
      </c>
      <c r="AY25" s="1">
        <f>IF(AR16="x","N/A",$B$8*($C$21*IF(AR15="x",AR16,AR15)+$C$22*IF(AQ16="x",AR16,AQ16)+$C$23*IF(AS16="x",AR16,AS16))+$B$9)</f>
        <v>-5.251623040000001</v>
      </c>
      <c r="AZ25" s="1">
        <f>IF(AR16="x","N/A",$B$8*($C$21*IF(AS16="x",AR16,AS16)+$C$22*IF(AR15="x",AR16,AR15)+$C$23*IF(AR17="x",AR16,AR17))+$B$9)</f>
        <v>-5.9854624000000012</v>
      </c>
      <c r="BA25" s="1">
        <f>IF(AR16="x","N/A",$B$8*($C$21*IF(AR17="x",AR16,AR17)+$C$22*IF(AQ16="x",AR16,AQ16)+$C$23*IF(AS16="x",AR16,AS16))+$B$9)</f>
        <v>-6.5374393600000005</v>
      </c>
      <c r="BB25" s="1">
        <f>IF(AR16="x","N/A",$B$8*($C$21*IF(AQ16="x",AR16,AQ16)+$C$22*IF(AR15="x",AR16,AR15)+$C$23*IF(AR17="x",AR16,AR17))+$B$9)</f>
        <v>-5.9854624000000012</v>
      </c>
      <c r="BE25" s="1" t="s">
        <v>2</v>
      </c>
      <c r="BF25" s="1">
        <f>IF(AY16="x","N/A",$B$8*($C$21*IF(AY15="x",AY16,AY15)+$C$22*IF(AX16="x",AY16,AX16)+$C$23*IF(AZ16="x",AY16,AZ16))+$B$9)</f>
        <v>-5.3724518400000001</v>
      </c>
      <c r="BG25" s="1">
        <f>IF(AY16="x","N/A",$B$8*($C$21*IF(AZ16="x",AY16,AZ16)+$C$22*IF(AY15="x",AY16,AY15)+$C$23*IF(AY17="x",AY16,AY17))+$B$9)</f>
        <v>-6.225054720000001</v>
      </c>
      <c r="BH25" s="1">
        <f>IF(AY16="x","N/A",$B$8*($C$21*IF(AY17="x",AY16,AY17)+$C$22*IF(AX16="x",AY16,AX16)+$C$23*IF(AZ16="x",AY16,AZ16))+$B$9)</f>
        <v>-6.9782476800000017</v>
      </c>
      <c r="BI25" s="1">
        <f>IF(AY16="x","N/A",$B$8*($C$21*IF(AX16="x",AY16,AX16)+$C$22*IF(AY15="x",AY16,AY15)+$C$23*IF(AY17="x",AY16,AY17))+$B$9)</f>
        <v>-6.225054720000001</v>
      </c>
      <c r="BL25" s="1" t="s">
        <v>2</v>
      </c>
      <c r="BM25" s="1">
        <f>IF(BF16="x","N/A",$B$8*($C$21*IF(BF15="x",BF16,BF15)+$C$22*IF(BE16="x",BF16,BE16)+$C$23*IF(BG16="x",BF16,BG16))+$B$9)</f>
        <v>-5.4349404928000009</v>
      </c>
      <c r="BN25" s="1">
        <f>IF(BF16="x","N/A",$B$8*($C$21*IF(BG16="x",BF16,BG16)+$C$22*IF(BF15="x",BF16,BF15)+$C$23*IF(BF17="x",BF16,BF17))+$B$9)</f>
        <v>-6.3573244672000007</v>
      </c>
      <c r="BO25" s="1">
        <f>IF(BF16="x","N/A",$B$8*($C$21*IF(BF17="x",BF16,BF17)+$C$22*IF(BE16="x",BF16,BE16)+$C$23*IF(BG16="x",BF16,BG16))+$B$9)</f>
        <v>-7.2489442048000008</v>
      </c>
      <c r="BP25" s="1">
        <f>IF(BF16="x","N/A",$B$8*($C$21*IF(BE16="x",BF16,BE16)+$C$22*IF(BF15="x",BF16,BF15)+$C$23*IF(BF17="x",BF16,BF17))+$B$9)</f>
        <v>-6.3573244672000007</v>
      </c>
      <c r="BS25" s="1" t="s">
        <v>2</v>
      </c>
      <c r="BT25" s="1">
        <f>IF(BM16="x","N/A",$B$8*($C$21*IF(BM15="x",BM16,BM15)+$C$22*IF(BL16="x",BM16,BL16)+$C$23*IF(BN16="x",BM16,BN16))+$B$9)</f>
        <v>-5.4665004134400013</v>
      </c>
      <c r="BU25" s="1">
        <f>IF(BM16="x","N/A",$B$8*($C$21*IF(BN16="x",BM16,BN16)+$C$22*IF(BM15="x",BM16,BM15)+$C$23*IF(BM17="x",BM16,BM17))+$B$9)</f>
        <v>-6.427963054080001</v>
      </c>
      <c r="BV25" s="1">
        <f>IF(BM16="x","N/A",$B$8*($C$21*IF(BM17="x",BM16,BM17)+$C$22*IF(BL16="x",BM16,BL16)+$C$23*IF(BN16="x",BM16,BN16))+$B$9)</f>
        <v>-7.4075610624000019</v>
      </c>
      <c r="BW25" s="1">
        <f>IF(BM16="x","N/A",$B$8*($C$21*IF(BL16="x",BM16,BL16)+$C$22*IF(BM15="x",BM16,BM15)+$C$23*IF(BM17="x",BM16,BM17))+$B$9)</f>
        <v>-6.427963054080001</v>
      </c>
      <c r="BZ25" s="1" t="s">
        <v>2</v>
      </c>
      <c r="CA25" s="1">
        <f>IF(BT16="x","N/A",$B$8*($C$21*IF(BT15="x",BT16,BT15)+$C$22*IF(BS16="x",BT16,BS16)+$C$23*IF(BU16="x",BT16,BU16))+$B$9)</f>
        <v>-5.4821531084800013</v>
      </c>
      <c r="CB25" s="1">
        <f>IF(BT16="x","N/A",$B$8*($C$21*IF(BU16="x",BT16,BU16)+$C$22*IF(BT15="x",BT16,BT15)+$C$23*IF(BT17="x",BT16,BT17))+$B$9)</f>
        <v>-6.4647728588800017</v>
      </c>
      <c r="CC25" s="1">
        <f>IF(BT16="x","N/A",$B$8*($C$21*IF(BT17="x",BT16,BT17)+$C$22*IF(BS16="x",BT16,BS16)+$C$23*IF(BU16="x",BT16,BU16))+$B$9)</f>
        <v>-7.4970272819200012</v>
      </c>
      <c r="CD25" s="1">
        <f>IF(BT16="x","N/A",$B$8*($C$21*IF(BS16="x",BT16,BS16)+$C$22*IF(BT15="x",BT16,BT15)+$C$23*IF(BT17="x",BT16,BT17))+$B$9)</f>
        <v>-6.4647728588800017</v>
      </c>
      <c r="CG25" s="1" t="s">
        <v>2</v>
      </c>
      <c r="CH25" s="1">
        <f>IF(CA16="x","N/A",$B$8*($C$21*IF(CA15="x",CA16,CA15)+$C$22*IF(BZ16="x",CA16,BZ16)+$C$23*IF(CB16="x",CA16,CB16))+$B$9)</f>
        <v>-5.489807944089601</v>
      </c>
      <c r="CI25" s="1">
        <f>IF(CA16="x","N/A",$B$8*($C$21*IF(CB16="x",CA16,CB16)+$C$22*IF(CA15="x",CA16,CA15)+$C$23*IF(CA17="x",CA16,CA17))+$B$9)</f>
        <v>-6.483599704473602</v>
      </c>
      <c r="CJ25" s="1">
        <f>IF(CA16="x","N/A",$B$8*($C$21*IF(CA17="x",CA16,CA17)+$C$22*IF(BZ16="x",CA16,BZ16)+$C$23*IF(CB16="x",CA16,CB16))+$B$9)</f>
        <v>-7.5460710408192018</v>
      </c>
      <c r="CK25" s="1">
        <f>IF(CA16="x","N/A",$B$8*($C$21*IF(BZ16="x",CA16,BZ16)+$C$22*IF(CA15="x",CA16,CA15)+$C$23*IF(CA17="x",CA16,CA17))+$B$9)</f>
        <v>-6.483599704473602</v>
      </c>
      <c r="CN25" s="1" t="s">
        <v>2</v>
      </c>
      <c r="CO25" s="1">
        <f>IF(CH16="x","N/A",$B$8*($C$21*IF(CH15="x",CH16,CH15)+$C$22*IF(CG16="x",CH16,CG16)+$C$23*IF(CI16="x",CH16,CI16))+$B$9)</f>
        <v>-5.4935095092428803</v>
      </c>
      <c r="CP25" s="1">
        <f>IF(CH16="x","N/A",$B$8*($C$21*IF(CI16="x",CH16,CI16)+$C$22*IF(CH15="x",CH16,CH15)+$C$23*IF(CH17="x",CH16,CH17))+$B$9)</f>
        <v>-6.4930875570995212</v>
      </c>
      <c r="CQ25" s="1">
        <f>IF(CH16="x","N/A",$B$8*($C$21*IF(CH17="x",CH16,CH17)+$C$22*IF(CG16="x",CH16,CG16)+$C$23*IF(CI16="x",CH16,CI16))+$B$9)</f>
        <v>-7.572343283015682</v>
      </c>
      <c r="CR25" s="1">
        <f>IF(CH16="x","N/A",$B$8*($C$21*IF(CG16="x",CH16,CG16)+$C$22*IF(CH15="x",CH16,CH15)+$C$23*IF(CH17="x",CH16,CH17))+$B$9)</f>
        <v>-6.4930875570995212</v>
      </c>
      <c r="CU25" s="1" t="s">
        <v>2</v>
      </c>
      <c r="CV25" s="1">
        <f>IF(CO16="x","N/A",$B$8*($C$21*IF(CO15="x",CO16,CO15)+$C$22*IF(CN16="x",CO16,CN16)+$C$23*IF(CP16="x",CO16,CP16))+$B$9)</f>
        <v>-5.4952830205132814</v>
      </c>
      <c r="CW25" s="1">
        <f>IF(CO16="x","N/A",$B$8*($C$21*IF(CP16="x",CO16,CP16)+$C$22*IF(CO15="x",CO16,CO15)+$C$23*IF(CO17="x",CO16,CO17))+$B$9)</f>
        <v>-6.4978120496947209</v>
      </c>
      <c r="CX25" s="1">
        <f>IF(CO16="x","N/A",$B$8*($C$21*IF(CO17="x",CO16,CO17)+$C$22*IF(CN16="x",CO16,CN16)+$C$23*IF(CP16="x",CO16,CP16))+$B$9)</f>
        <v>-7.5861563215872012</v>
      </c>
      <c r="CY25" s="1">
        <f>IF(CO16="x","N/A",$B$8*($C$21*IF(CN16="x",CO16,CN16)+$C$22*IF(CO15="x",CO16,CO15)+$C$23*IF(CO17="x",CO16,CO17))+$B$9)</f>
        <v>-6.4978120496947209</v>
      </c>
      <c r="DB25" s="1" t="s">
        <v>2</v>
      </c>
      <c r="DC25" s="1">
        <f>IF(CV16="x","N/A",$B$8*($C$21*IF(CV15="x",CV16,CV15)+$C$22*IF(CU16="x",CV16,CU16)+$C$23*IF(CW16="x",CV16,CW16))+$B$9)</f>
        <v>-5.4961262584152077</v>
      </c>
      <c r="DD25" s="1">
        <f>IF(CV16="x","N/A",$B$8*($C$21*IF(CW16="x",CV16,CW16)+$C$22*IF(CV15="x",CV16,CV15)+$C$23*IF(CV17="x",CV16,CV17))+$B$9)</f>
        <v>-6.5001413602803728</v>
      </c>
      <c r="DE25" s="1">
        <f>IF(CV16="x","N/A",$B$8*($C$21*IF(CV17="x",CV16,CV17)+$C$22*IF(CU16="x",CV16,CU16)+$C$23*IF(CW16="x",CV16,CW16))+$B$9)</f>
        <v>-7.5933065007480858</v>
      </c>
      <c r="DF25" s="1">
        <f>IF(CV16="x","N/A",$B$8*($C$21*IF(CU16="x",CV16,CU16)+$C$22*IF(CV15="x",CV16,CV15)+$C$23*IF(CV17="x",CV16,CV17))+$B$9)</f>
        <v>-6.5001413602803728</v>
      </c>
    </row>
    <row r="26" spans="1:111" x14ac:dyDescent="0.25">
      <c r="H26" s="1" t="s">
        <v>3</v>
      </c>
      <c r="I26" s="1">
        <f>IF(B17="x","N/A",$B$8*($C$21*IF(B16="x",B17,B16)+$C$22*IF(A17="x",B17,A17)+$C$23*IF(C17="x",B17,C17))+$B$9)</f>
        <v>-0.99</v>
      </c>
      <c r="J26" s="1">
        <f>IF(B17="x","N/A",$B$8*($C$21*IF(C17="x",B17,C17)+$C$22*IF(B16="x",B17,B16)+$C$23*IF(B18="x",B17,B18))+$B$9)</f>
        <v>-0.99</v>
      </c>
      <c r="K26" s="1">
        <f>IF(B17="x","N/A",$B$8*($C$21*IF(B18="x",B17,B18)+$C$22*IF(A17="x",B17,A17)+$C$23*IF(C17="x",B17,C17))+$B$9)</f>
        <v>-0.99</v>
      </c>
      <c r="L26" s="1">
        <f>IF(B17="x","N/A",$B$8*($C$21*IF(A17="x",B17,A17)+$C$22*IF(B16="x",B17,B16)+$C$23*IF(B18="x",B17,B18))+$B$9)</f>
        <v>-0.99</v>
      </c>
      <c r="O26" s="1" t="s">
        <v>3</v>
      </c>
      <c r="P26" s="1">
        <f>IF(I17="x","N/A",$B$8*($C$21*IF(I16="x",I17,I16)+$C$22*IF(H17="x",I17,H17)+$C$23*IF(J17="x",I17,J17))+$B$9)</f>
        <v>-1.98</v>
      </c>
      <c r="Q26" s="1">
        <f>IF(I17="x","N/A",$B$8*($C$21*IF(J17="x",I17,J17)+$C$22*IF(I16="x",I17,I16)+$C$23*IF(I18="x",I17,I18))+$B$9)</f>
        <v>-1.98</v>
      </c>
      <c r="R26" s="1">
        <f>IF(I17="x","N/A",$B$8*($C$21*IF(I18="x",I17,I18)+$C$22*IF(H17="x",I17,H17)+$C$23*IF(J17="x",I17,J17))+$B$9)</f>
        <v>-1.98</v>
      </c>
      <c r="S26" s="1">
        <f>IF(I17="x","N/A",$B$8*($C$21*IF(H17="x",I17,H17)+$C$22*IF(I16="x",I17,I16)+$C$23*IF(I18="x",I17,I18))+$B$9)</f>
        <v>-1.98</v>
      </c>
      <c r="V26" s="1" t="s">
        <v>3</v>
      </c>
      <c r="W26" s="1">
        <f>IF(P17="x","N/A",$B$8*($C$21*IF(P16="x",P17,P16)+$C$22*IF(O17="x",P17,O17)+$C$23*IF(Q17="x",P17,Q17))+$B$9)</f>
        <v>-2.9699999999999998</v>
      </c>
      <c r="X26" s="1">
        <f>IF(P17="x","N/A",$B$8*($C$21*IF(Q17="x",P17,Q17)+$C$22*IF(P16="x",P17,P16)+$C$23*IF(P18="x",P17,P18))+$B$9)</f>
        <v>-2.9699999999999998</v>
      </c>
      <c r="Y26" s="1">
        <f>IF(P17="x","N/A",$B$8*($C$21*IF(P18="x",P17,P18)+$C$22*IF(O17="x",P17,O17)+$C$23*IF(Q17="x",P17,Q17))+$B$9)</f>
        <v>-2.9699999999999998</v>
      </c>
      <c r="Z26" s="1">
        <f>IF(P17="x","N/A",$B$8*($C$21*IF(O17="x",P17,O17)+$C$22*IF(P16="x",P17,P16)+$C$23*IF(P18="x",P17,P18))+$B$9)</f>
        <v>-2.9699999999999998</v>
      </c>
      <c r="AC26" s="1" t="s">
        <v>3</v>
      </c>
      <c r="AD26" s="1">
        <f>IF(W17="x","N/A",$B$8*($C$21*IF(W16="x",W17,W16)+$C$22*IF(V17="x",W17,V17)+$C$23*IF(X17="x",W17,X17))+$B$9)</f>
        <v>-3.96</v>
      </c>
      <c r="AE26" s="1">
        <f>IF(W17="x","N/A",$B$8*($C$21*IF(X17="x",W17,X17)+$C$22*IF(W16="x",W17,W16)+$C$23*IF(W18="x",W17,W18))+$B$9)</f>
        <v>-3.96</v>
      </c>
      <c r="AF26" s="1">
        <f>IF(W17="x","N/A",$B$8*($C$21*IF(W18="x",W17,W18)+$C$22*IF(V17="x",W17,V17)+$C$23*IF(X17="x",W17,X17))+$B$9)</f>
        <v>-3.96</v>
      </c>
      <c r="AG26" s="1">
        <f>IF(W17="x","N/A",$B$8*($C$21*IF(V17="x",W17,V17)+$C$22*IF(W16="x",W17,W16)+$C$23*IF(W18="x",W17,W18))+$B$9)</f>
        <v>-3.96</v>
      </c>
      <c r="AJ26" s="1" t="s">
        <v>3</v>
      </c>
      <c r="AK26" s="1">
        <f>IF(AD17="x","N/A",$B$8*($C$21*IF(AD16="x",AD17,AD16)+$C$22*IF(AC17="x",AD17,AC17)+$C$23*IF(AE17="x",AD17,AE17))+$B$9)</f>
        <v>-4.95</v>
      </c>
      <c r="AL26" s="1">
        <f>IF(AD17="x","N/A",$B$8*($C$21*IF(AE17="x",AD17,AE17)+$C$22*IF(AD16="x",AD17,AD16)+$C$23*IF(AD18="x",AD17,AD18))+$B$9)</f>
        <v>-4.95</v>
      </c>
      <c r="AM26" s="1">
        <f>IF(AD17="x","N/A",$B$8*($C$21*IF(AD18="x",AD17,AD18)+$C$22*IF(AC17="x",AD17,AC17)+$C$23*IF(AE17="x",AD17,AE17))+$B$9)</f>
        <v>-4.95</v>
      </c>
      <c r="AN26" s="1">
        <f>IF(AD17="x","N/A",$B$8*($C$21*IF(AC17="x",AD17,AC17)+$C$22*IF(AD16="x",AD17,AD16)+$C$23*IF(AD18="x",AD17,AD18))+$B$9)</f>
        <v>-4.95</v>
      </c>
      <c r="AQ26" s="1" t="s">
        <v>3</v>
      </c>
      <c r="AR26" s="1">
        <f>IF(AK17="x","N/A",$B$8*($C$21*IF(AK16="x",AK17,AK16)+$C$22*IF(AJ17="x",AK17,AJ17)+$C$23*IF(AL17="x",AK17,AL17))+$B$9)</f>
        <v>-5.6778560000000002</v>
      </c>
      <c r="AS26" s="1">
        <f>IF(AK17="x","N/A",$B$8*($C$21*IF(AL17="x",AK17,AL17)+$C$22*IF(AK16="x",AK17,AK16)+$C$23*IF(AK18="x",AK17,AK18))+$B$9)</f>
        <v>-5.9072320000000005</v>
      </c>
      <c r="AT26" s="1">
        <f>IF(AK17="x","N/A",$B$8*($C$21*IF(AK18="x",AK17,AK18)+$C$22*IF(AJ17="x",AK17,AJ17)+$C$23*IF(AL17="x",AK17,AL17))+$B$9)</f>
        <v>-5.94</v>
      </c>
      <c r="AU26" s="1">
        <f>IF(AK17="x","N/A",$B$8*($C$21*IF(AJ17="x",AK17,AJ17)+$C$22*IF(AK16="x",AK17,AK16)+$C$23*IF(AK18="x",AK17,AK18))+$B$9)</f>
        <v>-5.9072320000000005</v>
      </c>
      <c r="AX26" s="1" t="s">
        <v>3</v>
      </c>
      <c r="AY26" s="1">
        <f>IF(AR17="x","N/A",$B$8*($C$21*IF(AR16="x",AR17,AR16)+$C$22*IF(AQ17="x",AR17,AQ17)+$C$23*IF(AS17="x",AR17,AS17))+$B$9)</f>
        <v>-6.1724038400000012</v>
      </c>
      <c r="AZ26" s="1">
        <f>IF(AR17="x","N/A",$B$8*($C$21*IF(AS17="x",AR17,AS17)+$C$22*IF(AR16="x",AR17,AR16)+$C$23*IF(AR18="x",AR17,AR18))+$B$9)</f>
        <v>-6.8123628800000011</v>
      </c>
      <c r="BA26" s="1">
        <f>IF(AR17="x","N/A",$B$8*($C$21*IF(AR18="x",AR17,AR18)+$C$22*IF(AQ17="x",AR17,AQ17)+$C$23*IF(AS17="x",AR17,AS17))+$B$9)</f>
        <v>-6.6940704000000002</v>
      </c>
      <c r="BB26" s="1">
        <f>IF(AR17="x","N/A",$B$8*($C$21*IF(AQ17="x",AR17,AQ17)+$C$22*IF(AR16="x",AR17,AR16)+$C$23*IF(AR18="x",AR17,AR18))+$B$9)</f>
        <v>-6.6026476799999996</v>
      </c>
      <c r="BE26" s="1" t="s">
        <v>3</v>
      </c>
      <c r="BF26" s="1">
        <f>IF(AY17="x","N/A",$B$8*($C$21*IF(AY16="x",AY17,AY16)+$C$22*IF(AX17="x",AY17,AX17)+$C$23*IF(AZ17="x",AY17,AZ17))+$B$9)</f>
        <v>-6.4805672960000011</v>
      </c>
      <c r="BG26" s="1">
        <f>IF(AY17="x","N/A",$B$8*($C$21*IF(AZ17="x",AY17,AZ17)+$C$22*IF(AY16="x",AY17,AY16)+$C$23*IF(AY18="x",AY17,AY18))+$B$9)</f>
        <v>-7.5086305280000021</v>
      </c>
      <c r="BH26" s="1">
        <f>IF(AY17="x","N/A",$B$8*($C$21*IF(AY18="x",AY17,AY18)+$C$22*IF(AX17="x",AY17,AX17)+$C$23*IF(AZ17="x",AY17,AZ17))+$B$9)</f>
        <v>-7.2171919360000016</v>
      </c>
      <c r="BI26" s="1">
        <f>IF(AY17="x","N/A",$B$8*($C$21*IF(AX17="x",AY17,AX17)+$C$22*IF(AY16="x",AY17,AY16)+$C$23*IF(AY18="x",AY17,AY18))+$B$9)</f>
        <v>-7.070325760000002</v>
      </c>
      <c r="BL26" s="1" t="s">
        <v>3</v>
      </c>
      <c r="BM26" s="1">
        <f>IF(BF17="x","N/A",$B$8*($C$21*IF(BF16="x",BF17,BF16)+$C$22*IF(BE17="x",BF17,BE17)+$C$23*IF(BG17="x",BF17,BG17))+$B$9)</f>
        <v>-6.6632162048000003</v>
      </c>
      <c r="BN26" s="1">
        <f>IF(BF17="x","N/A",$B$8*($C$21*IF(BG17="x",BF17,BG17)+$C$22*IF(BF16="x",BF17,BF16)+$C$23*IF(BF18="x",BF17,BF18))+$B$9)</f>
        <v>-7.9928859392000016</v>
      </c>
      <c r="BO26" s="1">
        <f>IF(BF17="x","N/A",$B$8*($C$21*IF(BF18="x",BF17,BF18)+$C$22*IF(BE17="x",BF17,BE17)+$C$23*IF(BG17="x",BF17,BG17))+$B$9)</f>
        <v>-7.5497085696000017</v>
      </c>
      <c r="BP26" s="1">
        <f>IF(BF17="x","N/A",$B$8*($C$21*IF(BE17="x",BF17,BE17)+$C$22*IF(BF16="x",BF17,BF16)+$C$23*IF(BF18="x",BF17,BF18))+$B$9)</f>
        <v>-7.3597557504000015</v>
      </c>
      <c r="BS26" s="1" t="s">
        <v>3</v>
      </c>
      <c r="BT26" s="1">
        <f>IF(BM17="x","N/A",$B$8*($C$21*IF(BM16="x",BM17,BM16)+$C$22*IF(BL17="x",BM17,BL17)+$C$23*IF(BN17="x",BM17,BN17))+$B$9)</f>
        <v>-6.7671589990400012</v>
      </c>
      <c r="BU26" s="1">
        <f>IF(BM17="x","N/A",$B$8*($C$21*IF(BN17="x",BM17,BN17)+$C$22*IF(BM16="x",BM17,BM16)+$C$23*IF(BM18="x",BM17,BM18))+$B$9)</f>
        <v>-8.3028955443200019</v>
      </c>
      <c r="BV26" s="1">
        <f>IF(BM17="x","N/A",$B$8*($C$21*IF(BM18="x",BM17,BM18)+$C$22*IF(BL17="x",BM17,BL17)+$C$23*IF(BN17="x",BM17,BN17))+$B$9)</f>
        <v>-7.7497795686400011</v>
      </c>
      <c r="BW26" s="1">
        <f>IF(BM17="x","N/A",$B$8*($C$21*IF(BL17="x",BM17,BL17)+$C$22*IF(BM16="x",BM17,BM16)+$C$23*IF(BM18="x",BM17,BM18))+$B$9)</f>
        <v>-7.5303886336000012</v>
      </c>
      <c r="BZ26" s="1" t="s">
        <v>3</v>
      </c>
      <c r="CA26" s="1">
        <f>IF(BT17="x","N/A",$B$8*($C$21*IF(BT16="x",BT17,BT16)+$C$22*IF(BS17="x",BT17,BS17)+$C$23*IF(BU17="x",BT17,BU17))+$B$9)</f>
        <v>-6.8245505239040014</v>
      </c>
      <c r="CB26" s="1">
        <f>IF(BT17="x","N/A",$B$8*($C$21*IF(BU17="x",BT17,BU17)+$C$22*IF(BT16="x",BT17,BT16)+$C$23*IF(BT18="x",BT17,BT18))+$B$9)</f>
        <v>-8.4904402872320013</v>
      </c>
      <c r="CC26" s="1">
        <f>IF(BT17="x","N/A",$B$8*($C$21*IF(BT18="x",BT17,BT18)+$C$22*IF(BS17="x",BT17,BS17)+$C$23*IF(BU17="x",BT17,BU17))+$B$9)</f>
        <v>-7.8650773923840021</v>
      </c>
      <c r="CD26" s="1">
        <f>IF(BT17="x","N/A",$B$8*($C$21*IF(BS17="x",BT17,BS17)+$C$22*IF(BT16="x",BT17,BT16)+$C$23*IF(BT18="x",BT17,BT18))+$B$9)</f>
        <v>-7.6270931404800013</v>
      </c>
      <c r="CG26" s="1" t="s">
        <v>3</v>
      </c>
      <c r="CH26" s="1">
        <f>IF(CA17="x","N/A",$B$8*($C$21*IF(CA16="x",CA17,CA16)+$C$22*IF(BZ17="x",CA17,BZ17)+$C$23*IF(CB17="x",CA17,CB17))+$B$9)</f>
        <v>-6.8554771177472018</v>
      </c>
      <c r="CI26" s="1">
        <f>IF(CA17="x","N/A",$B$8*($C$21*IF(CB17="x",CA17,CB17)+$C$22*IF(CA16="x",CA17,CA16)+$C$23*IF(CA18="x",CA17,CA18))+$B$9)</f>
        <v>-8.5990669918208038</v>
      </c>
      <c r="CJ26" s="1">
        <f>IF(CA17="x","N/A",$B$8*($C$21*IF(CA18="x",CA17,CA18)+$C$22*IF(BZ17="x",CA17,BZ17)+$C$23*IF(CB17="x",CA17,CB17))+$B$9)</f>
        <v>-7.9293950500864021</v>
      </c>
      <c r="CK26" s="1">
        <f>IF(CA17="x","N/A",$B$8*($C$21*IF(BZ17="x",CA17,BZ17)+$C$22*IF(CA16="x",CA17,CA16)+$C$23*IF(CA18="x",CA17,CA18))+$B$9)</f>
        <v>-7.6803107823616017</v>
      </c>
      <c r="CN26" s="1" t="s">
        <v>3</v>
      </c>
      <c r="CO26" s="1">
        <f>IF(CH17="x","N/A",$B$8*($C$21*IF(CH16="x",CH17,CH16)+$C$22*IF(CG17="x",CH17,CG17)+$C$23*IF(CI17="x",CH17,CI17))+$B$9)</f>
        <v>-6.8718180246732805</v>
      </c>
      <c r="CP26" s="1">
        <f>IF(CH17="x","N/A",$B$8*($C$21*IF(CI17="x",CH17,CI17)+$C$22*IF(CH16="x",CH17,CH16)+$C$23*IF(CH18="x",CH17,CH18))+$B$9)</f>
        <v>-8.659920167198722</v>
      </c>
      <c r="CQ26" s="1">
        <f>IF(CH17="x","N/A",$B$8*($C$21*IF(CH18="x",CH17,CH18)+$C$22*IF(CG17="x",CH17,CG17)+$C$23*IF(CI17="x",CH17,CI17))+$B$9)</f>
        <v>-7.9643533635993622</v>
      </c>
      <c r="CR26" s="1">
        <f>IF(CH17="x","N/A",$B$8*($C$21*IF(CG17="x",CH17,CG17)+$C$22*IF(CH16="x",CH17,CH16)+$C$23*IF(CH18="x",CH17,CH18))+$B$9)</f>
        <v>-7.7089102003814425</v>
      </c>
      <c r="CU26" s="1" t="s">
        <v>3</v>
      </c>
      <c r="CV26" s="1">
        <f>IF(CO17="x","N/A",$B$8*($C$21*IF(CO16="x",CO17,CO16)+$C$22*IF(CN17="x",CO17,CN17)+$C$23*IF(CP17="x",CO17,CP17))+$B$9)</f>
        <v>-6.8803123708067853</v>
      </c>
      <c r="CW26" s="1">
        <f>IF(CO17="x","N/A",$B$8*($C$21*IF(CP17="x",CO17,CP17)+$C$22*IF(CO16="x",CO17,CO16)+$C$23*IF(CO18="x",CO17,CO18))+$B$9)</f>
        <v>-8.6931164409528332</v>
      </c>
      <c r="CX26" s="1">
        <f>IF(CO17="x","N/A",$B$8*($C$21*IF(CO18="x",CO17,CO18)+$C$22*IF(CN17="x",CO17,CN17)+$C$23*IF(CP17="x",CO17,CP17))+$B$9)</f>
        <v>-7.9829591831511051</v>
      </c>
      <c r="CY26" s="1">
        <f>IF(CO17="x","N/A",$B$8*($C$21*IF(CN17="x",CO17,CN17)+$C$22*IF(CO16="x",CO17,CO16)+$C$23*IF(CO18="x",CO17,CO18))+$B$9)</f>
        <v>-7.723987173130241</v>
      </c>
      <c r="DB26" s="1" t="s">
        <v>3</v>
      </c>
      <c r="DC26" s="1">
        <f>IF(CV17="x","N/A",$B$8*($C$21*IF(CV16="x",CV17,CV16)+$C$22*IF(CU17="x",CV17,CU17)+$C$23*IF(CW17="x",CV17,CW17))+$B$9)</f>
        <v>-6.884667687654197</v>
      </c>
      <c r="DD26" s="1">
        <f>IF(CV17="x","N/A",$B$8*($C$21*IF(CW17="x",CV17,CW17)+$C$22*IF(CV16="x",CV17,CV16)+$C$23*IF(CV18="x",CV17,CV18))+$B$9)</f>
        <v>-8.7108398124351503</v>
      </c>
      <c r="DE26" s="1">
        <f>IF(CV17="x","N/A",$B$8*($C$21*IF(CV18="x",CV17,CV18)+$C$22*IF(CU17="x",CV17,CU17)+$C$23*IF(CW17="x",CV17,CW17))+$B$9)</f>
        <v>-7.9926911678890002</v>
      </c>
      <c r="DF26" s="1">
        <f>IF(CV17="x","N/A",$B$8*($C$21*IF(CU17="x",CV17,CU17)+$C$22*IF(CV16="x",CV17,CV16)+$C$23*IF(CV18="x",CV17,CV18))+$B$9)</f>
        <v>-7.7318094357774356</v>
      </c>
    </row>
    <row r="27" spans="1:111" x14ac:dyDescent="0.25">
      <c r="A27" t="s">
        <v>31</v>
      </c>
      <c r="H27" s="1" t="s">
        <v>4</v>
      </c>
      <c r="I27" s="1" t="str">
        <f>IF(B18="x","N/A",$B$8*($C$21*IF(B17="x",B18,B17)+$C$22*IF(A18="x",B18,A18)+$C$23*IF(C18="x",B18,C18))+$B$9)</f>
        <v>N/A</v>
      </c>
      <c r="J27" s="1" t="str">
        <f>IF(B18="x","N/A",$B$8*($C$21*IF(C18="x",B18,C18)+$C$22*IF(B17="x",B18,B17)+$C$23*IF(B19="x",B18,B19))+$B$9)</f>
        <v>N/A</v>
      </c>
      <c r="K27" s="1" t="str">
        <f>IF(B18="x","N/A",$B$8*($C$21*IF(B19="x",B18,B19)+$C$22*IF(A18="x",B18,A18)+$C$23*IF(C18="x",B18,C18))+$B$9)</f>
        <v>N/A</v>
      </c>
      <c r="L27" s="1" t="str">
        <f>IF(B18="x","N/A",$B$8*($C$21*IF(A18="x",B18,A18)+$C$22*IF(B17="x",B18,B17)+$C$23*IF(B19="x",B18,B19))+$B$9)</f>
        <v>N/A</v>
      </c>
      <c r="O27" s="1" t="s">
        <v>4</v>
      </c>
      <c r="P27" s="1" t="str">
        <f>IF(I18="x","N/A",$B$8*($C$21*IF(I17="x",I18,I17)+$C$22*IF(H18="x",I18,H18)+$C$23*IF(J18="x",I18,J18))+$B$9)</f>
        <v>N/A</v>
      </c>
      <c r="Q27" s="1" t="str">
        <f>IF(I18="x","N/A",$B$8*($C$21*IF(J18="x",I18,J18)+$C$22*IF(I17="x",I18,I17)+$C$23*IF(I19="x",I18,I19))+$B$9)</f>
        <v>N/A</v>
      </c>
      <c r="R27" s="1" t="str">
        <f>IF(I18="x","N/A",$B$8*($C$21*IF(I19="x",I18,I19)+$C$22*IF(H18="x",I18,H18)+$C$23*IF(J18="x",I18,J18))+$B$9)</f>
        <v>N/A</v>
      </c>
      <c r="S27" s="1" t="str">
        <f>IF(I18="x","N/A",$B$8*($C$21*IF(H18="x",I18,H18)+$C$22*IF(I17="x",I18,I17)+$C$23*IF(I19="x",I18,I19))+$B$9)</f>
        <v>N/A</v>
      </c>
      <c r="V27" s="1" t="s">
        <v>4</v>
      </c>
      <c r="W27" s="1" t="str">
        <f>IF(P18="x","N/A",$B$8*($C$21*IF(P17="x",P18,P17)+$C$22*IF(O18="x",P18,O18)+$C$23*IF(Q18="x",P18,Q18))+$B$9)</f>
        <v>N/A</v>
      </c>
      <c r="X27" s="1" t="str">
        <f>IF(P18="x","N/A",$B$8*($C$21*IF(Q18="x",P18,Q18)+$C$22*IF(P17="x",P18,P17)+$C$23*IF(P19="x",P18,P19))+$B$9)</f>
        <v>N/A</v>
      </c>
      <c r="Y27" s="1" t="str">
        <f>IF(P18="x","N/A",$B$8*($C$21*IF(P19="x",P18,P19)+$C$22*IF(O18="x",P18,O18)+$C$23*IF(Q18="x",P18,Q18))+$B$9)</f>
        <v>N/A</v>
      </c>
      <c r="Z27" s="1" t="str">
        <f>IF(P18="x","N/A",$B$8*($C$21*IF(O18="x",P18,O18)+$C$22*IF(P17="x",P18,P17)+$C$23*IF(P19="x",P18,P19))+$B$9)</f>
        <v>N/A</v>
      </c>
      <c r="AC27" s="1" t="s">
        <v>4</v>
      </c>
      <c r="AD27" s="1" t="str">
        <f>IF(W18="x","N/A",$B$8*($C$21*IF(W17="x",W18,W17)+$C$22*IF(V18="x",W18,V18)+$C$23*IF(X18="x",W18,X18))+$B$9)</f>
        <v>N/A</v>
      </c>
      <c r="AE27" s="1" t="str">
        <f>IF(W18="x","N/A",$B$8*($C$21*IF(X18="x",W18,X18)+$C$22*IF(W17="x",W18,W17)+$C$23*IF(W19="x",W18,W19))+$B$9)</f>
        <v>N/A</v>
      </c>
      <c r="AF27" s="1" t="str">
        <f>IF(W18="x","N/A",$B$8*($C$21*IF(W19="x",W18,W19)+$C$22*IF(V18="x",W18,V18)+$C$23*IF(X18="x",W18,X18))+$B$9)</f>
        <v>N/A</v>
      </c>
      <c r="AG27" s="1" t="str">
        <f>IF(W18="x","N/A",$B$8*($C$21*IF(V18="x",W18,V18)+$C$22*IF(W17="x",W18,W17)+$C$23*IF(W19="x",W18,W19))+$B$9)</f>
        <v>N/A</v>
      </c>
      <c r="AJ27" s="1" t="s">
        <v>4</v>
      </c>
      <c r="AK27" s="1" t="str">
        <f>IF(AD18="x","N/A",$B$8*($C$21*IF(AD17="x",AD18,AD17)+$C$22*IF(AC18="x",AD18,AC18)+$C$23*IF(AE18="x",AD18,AE18))+$B$9)</f>
        <v>N/A</v>
      </c>
      <c r="AL27" s="1" t="str">
        <f>IF(AD18="x","N/A",$B$8*($C$21*IF(AE18="x",AD18,AE18)+$C$22*IF(AD17="x",AD18,AD17)+$C$23*IF(AD19="x",AD18,AD19))+$B$9)</f>
        <v>N/A</v>
      </c>
      <c r="AM27" s="1" t="str">
        <f>IF(AD18="x","N/A",$B$8*($C$21*IF(AD19="x",AD18,AD19)+$C$22*IF(AC18="x",AD18,AC18)+$C$23*IF(AE18="x",AD18,AE18))+$B$9)</f>
        <v>N/A</v>
      </c>
      <c r="AN27" s="1" t="str">
        <f>IF(AD18="x","N/A",$B$8*($C$21*IF(AC18="x",AD18,AC18)+$C$22*IF(AD17="x",AD18,AD17)+$C$23*IF(AD19="x",AD18,AD19))+$B$9)</f>
        <v>N/A</v>
      </c>
      <c r="AQ27" s="1" t="s">
        <v>4</v>
      </c>
      <c r="AR27" s="1" t="str">
        <f>IF(AK18="x","N/A",$B$8*($C$21*IF(AK17="x",AK18,AK17)+$C$22*IF(AJ18="x",AK18,AJ18)+$C$23*IF(AL18="x",AK18,AL18))+$B$9)</f>
        <v>N/A</v>
      </c>
      <c r="AS27" s="1" t="str">
        <f>IF(AK18="x","N/A",$B$8*($C$21*IF(AL18="x",AK18,AL18)+$C$22*IF(AK17="x",AK18,AK17)+$C$23*IF(AK19="x",AK18,AK19))+$B$9)</f>
        <v>N/A</v>
      </c>
      <c r="AT27" s="1" t="str">
        <f>IF(AK18="x","N/A",$B$8*($C$21*IF(AK19="x",AK18,AK19)+$C$22*IF(AJ18="x",AK18,AJ18)+$C$23*IF(AL18="x",AK18,AL18))+$B$9)</f>
        <v>N/A</v>
      </c>
      <c r="AU27" s="1" t="str">
        <f>IF(AK18="x","N/A",$B$8*($C$21*IF(AJ18="x",AK18,AJ18)+$C$22*IF(AK17="x",AK18,AK17)+$C$23*IF(AK19="x",AK18,AK19))+$B$9)</f>
        <v>N/A</v>
      </c>
      <c r="AX27" s="1" t="s">
        <v>4</v>
      </c>
      <c r="AY27" s="1" t="str">
        <f>IF(AR18="x","N/A",$B$8*($C$21*IF(AR17="x",AR18,AR17)+$C$22*IF(AQ18="x",AR18,AQ18)+$C$23*IF(AS18="x",AR18,AS18))+$B$9)</f>
        <v>N/A</v>
      </c>
      <c r="AZ27" s="1" t="str">
        <f>IF(AR18="x","N/A",$B$8*($C$21*IF(AS18="x",AR18,AS18)+$C$22*IF(AR17="x",AR18,AR17)+$C$23*IF(AR19="x",AR18,AR19))+$B$9)</f>
        <v>N/A</v>
      </c>
      <c r="BA27" s="1" t="str">
        <f>IF(AR18="x","N/A",$B$8*($C$21*IF(AR19="x",AR18,AR19)+$C$22*IF(AQ18="x",AR18,AQ18)+$C$23*IF(AS18="x",AR18,AS18))+$B$9)</f>
        <v>N/A</v>
      </c>
      <c r="BB27" s="1" t="str">
        <f>IF(AR18="x","N/A",$B$8*($C$21*IF(AQ18="x",AR18,AQ18)+$C$22*IF(AR17="x",AR18,AR17)+$C$23*IF(AR19="x",AR18,AR19))+$B$9)</f>
        <v>N/A</v>
      </c>
      <c r="BE27" s="1" t="s">
        <v>4</v>
      </c>
      <c r="BF27" s="1" t="str">
        <f>IF(AY18="x","N/A",$B$8*($C$21*IF(AY17="x",AY18,AY17)+$C$22*IF(AX18="x",AY18,AX18)+$C$23*IF(AZ18="x",AY18,AZ18))+$B$9)</f>
        <v>N/A</v>
      </c>
      <c r="BG27" s="1" t="str">
        <f>IF(AY18="x","N/A",$B$8*($C$21*IF(AZ18="x",AY18,AZ18)+$C$22*IF(AY17="x",AY18,AY17)+$C$23*IF(AY19="x",AY18,AY19))+$B$9)</f>
        <v>N/A</v>
      </c>
      <c r="BH27" s="1" t="str">
        <f>IF(AY18="x","N/A",$B$8*($C$21*IF(AY19="x",AY18,AY19)+$C$22*IF(AX18="x",AY18,AX18)+$C$23*IF(AZ18="x",AY18,AZ18))+$B$9)</f>
        <v>N/A</v>
      </c>
      <c r="BI27" s="1" t="str">
        <f>IF(AY18="x","N/A",$B$8*($C$21*IF(AX18="x",AY18,AX18)+$C$22*IF(AY17="x",AY18,AY17)+$C$23*IF(AY19="x",AY18,AY19))+$B$9)</f>
        <v>N/A</v>
      </c>
      <c r="BL27" s="1" t="s">
        <v>4</v>
      </c>
      <c r="BM27" s="1" t="str">
        <f>IF(BF18="x","N/A",$B$8*($C$21*IF(BF17="x",BF18,BF17)+$C$22*IF(BE18="x",BF18,BE18)+$C$23*IF(BG18="x",BF18,BG18))+$B$9)</f>
        <v>N/A</v>
      </c>
      <c r="BN27" s="1" t="str">
        <f>IF(BF18="x","N/A",$B$8*($C$21*IF(BG18="x",BF18,BG18)+$C$22*IF(BF17="x",BF18,BF17)+$C$23*IF(BF19="x",BF18,BF19))+$B$9)</f>
        <v>N/A</v>
      </c>
      <c r="BO27" s="1" t="str">
        <f>IF(BF18="x","N/A",$B$8*($C$21*IF(BF19="x",BF18,BF19)+$C$22*IF(BE18="x",BF18,BE18)+$C$23*IF(BG18="x",BF18,BG18))+$B$9)</f>
        <v>N/A</v>
      </c>
      <c r="BP27" s="1" t="str">
        <f>IF(BF18="x","N/A",$B$8*($C$21*IF(BE18="x",BF18,BE18)+$C$22*IF(BF17="x",BF18,BF17)+$C$23*IF(BF19="x",BF18,BF19))+$B$9)</f>
        <v>N/A</v>
      </c>
      <c r="BS27" s="1" t="s">
        <v>4</v>
      </c>
      <c r="BT27" s="1" t="str">
        <f>IF(BM18="x","N/A",$B$8*($C$21*IF(BM17="x",BM18,BM17)+$C$22*IF(BL18="x",BM18,BL18)+$C$23*IF(BN18="x",BM18,BN18))+$B$9)</f>
        <v>N/A</v>
      </c>
      <c r="BU27" s="1" t="str">
        <f>IF(BM18="x","N/A",$B$8*($C$21*IF(BN18="x",BM18,BN18)+$C$22*IF(BM17="x",BM18,BM17)+$C$23*IF(BM19="x",BM18,BM19))+$B$9)</f>
        <v>N/A</v>
      </c>
      <c r="BV27" s="1" t="str">
        <f>IF(BM18="x","N/A",$B$8*($C$21*IF(BM19="x",BM18,BM19)+$C$22*IF(BL18="x",BM18,BL18)+$C$23*IF(BN18="x",BM18,BN18))+$B$9)</f>
        <v>N/A</v>
      </c>
      <c r="BW27" s="1" t="str">
        <f>IF(BM18="x","N/A",$B$8*($C$21*IF(BL18="x",BM18,BL18)+$C$22*IF(BM17="x",BM18,BM17)+$C$23*IF(BM19="x",BM18,BM19))+$B$9)</f>
        <v>N/A</v>
      </c>
      <c r="BZ27" s="1" t="s">
        <v>4</v>
      </c>
      <c r="CA27" s="1" t="str">
        <f>IF(BT18="x","N/A",$B$8*($C$21*IF(BT17="x",BT18,BT17)+$C$22*IF(BS18="x",BT18,BS18)+$C$23*IF(BU18="x",BT18,BU18))+$B$9)</f>
        <v>N/A</v>
      </c>
      <c r="CB27" s="1" t="str">
        <f>IF(BT18="x","N/A",$B$8*($C$21*IF(BU18="x",BT18,BU18)+$C$22*IF(BT17="x",BT18,BT17)+$C$23*IF(BT19="x",BT18,BT19))+$B$9)</f>
        <v>N/A</v>
      </c>
      <c r="CC27" s="1" t="str">
        <f>IF(BT18="x","N/A",$B$8*($C$21*IF(BT19="x",BT18,BT19)+$C$22*IF(BS18="x",BT18,BS18)+$C$23*IF(BU18="x",BT18,BU18))+$B$9)</f>
        <v>N/A</v>
      </c>
      <c r="CD27" s="1" t="str">
        <f>IF(BT18="x","N/A",$B$8*($C$21*IF(BS18="x",BT18,BS18)+$C$22*IF(BT17="x",BT18,BT17)+$C$23*IF(BT19="x",BT18,BT19))+$B$9)</f>
        <v>N/A</v>
      </c>
      <c r="CG27" s="1" t="s">
        <v>4</v>
      </c>
      <c r="CH27" s="1" t="str">
        <f>IF(CA18="x","N/A",$B$8*($C$21*IF(CA17="x",CA18,CA17)+$C$22*IF(BZ18="x",CA18,BZ18)+$C$23*IF(CB18="x",CA18,CB18))+$B$9)</f>
        <v>N/A</v>
      </c>
      <c r="CI27" s="1" t="str">
        <f>IF(CA18="x","N/A",$B$8*($C$21*IF(CB18="x",CA18,CB18)+$C$22*IF(CA17="x",CA18,CA17)+$C$23*IF(CA19="x",CA18,CA19))+$B$9)</f>
        <v>N/A</v>
      </c>
      <c r="CJ27" s="1" t="str">
        <f>IF(CA18="x","N/A",$B$8*($C$21*IF(CA19="x",CA18,CA19)+$C$22*IF(BZ18="x",CA18,BZ18)+$C$23*IF(CB18="x",CA18,CB18))+$B$9)</f>
        <v>N/A</v>
      </c>
      <c r="CK27" s="1" t="str">
        <f>IF(CA18="x","N/A",$B$8*($C$21*IF(BZ18="x",CA18,BZ18)+$C$22*IF(CA17="x",CA18,CA17)+$C$23*IF(CA19="x",CA18,CA19))+$B$9)</f>
        <v>N/A</v>
      </c>
      <c r="CN27" s="1" t="s">
        <v>4</v>
      </c>
      <c r="CO27" s="1" t="str">
        <f>IF(CH18="x","N/A",$B$8*($C$21*IF(CH17="x",CH18,CH17)+$C$22*IF(CG18="x",CH18,CG18)+$C$23*IF(CI18="x",CH18,CI18))+$B$9)</f>
        <v>N/A</v>
      </c>
      <c r="CP27" s="1" t="str">
        <f>IF(CH18="x","N/A",$B$8*($C$21*IF(CI18="x",CH18,CI18)+$C$22*IF(CH17="x",CH18,CH17)+$C$23*IF(CH19="x",CH18,CH19))+$B$9)</f>
        <v>N/A</v>
      </c>
      <c r="CQ27" s="1" t="str">
        <f>IF(CH18="x","N/A",$B$8*($C$21*IF(CH19="x",CH18,CH19)+$C$22*IF(CG18="x",CH18,CG18)+$C$23*IF(CI18="x",CH18,CI18))+$B$9)</f>
        <v>N/A</v>
      </c>
      <c r="CR27" s="1" t="str">
        <f>IF(CH18="x","N/A",$B$8*($C$21*IF(CG18="x",CH18,CG18)+$C$22*IF(CH17="x",CH18,CH17)+$C$23*IF(CH19="x",CH18,CH19))+$B$9)</f>
        <v>N/A</v>
      </c>
      <c r="CU27" s="1" t="s">
        <v>4</v>
      </c>
      <c r="CV27" s="1" t="str">
        <f>IF(CO18="x","N/A",$B$8*($C$21*IF(CO17="x",CO18,CO17)+$C$22*IF(CN18="x",CO18,CN18)+$C$23*IF(CP18="x",CO18,CP18))+$B$9)</f>
        <v>N/A</v>
      </c>
      <c r="CW27" s="1" t="str">
        <f>IF(CO18="x","N/A",$B$8*($C$21*IF(CP18="x",CO18,CP18)+$C$22*IF(CO17="x",CO18,CO17)+$C$23*IF(CO19="x",CO18,CO19))+$B$9)</f>
        <v>N/A</v>
      </c>
      <c r="CX27" s="1" t="str">
        <f>IF(CO18="x","N/A",$B$8*($C$21*IF(CO19="x",CO18,CO19)+$C$22*IF(CN18="x",CO18,CN18)+$C$23*IF(CP18="x",CO18,CP18))+$B$9)</f>
        <v>N/A</v>
      </c>
      <c r="CY27" s="1" t="str">
        <f>IF(CO18="x","N/A",$B$8*($C$21*IF(CN18="x",CO18,CN18)+$C$22*IF(CO17="x",CO18,CO17)+$C$23*IF(CO19="x",CO18,CO19))+$B$9)</f>
        <v>N/A</v>
      </c>
      <c r="DB27" s="1" t="s">
        <v>4</v>
      </c>
      <c r="DC27" s="1" t="str">
        <f>IF(CV18="x","N/A",$B$8*($C$21*IF(CV17="x",CV18,CV17)+$C$22*IF(CU18="x",CV18,CU18)+$C$23*IF(CW18="x",CV18,CW18))+$B$9)</f>
        <v>N/A</v>
      </c>
      <c r="DD27" s="1" t="str">
        <f>IF(CV18="x","N/A",$B$8*($C$21*IF(CW18="x",CV18,CW18)+$C$22*IF(CV17="x",CV18,CV17)+$C$23*IF(CV19="x",CV18,CV19))+$B$9)</f>
        <v>N/A</v>
      </c>
      <c r="DE27" s="1" t="str">
        <f>IF(CV18="x","N/A",$B$8*($C$21*IF(CV19="x",CV18,CV19)+$C$22*IF(CU18="x",CV18,CU18)+$C$23*IF(CW18="x",CV18,CW18))+$B$9)</f>
        <v>N/A</v>
      </c>
      <c r="DF27" s="1" t="str">
        <f>IF(CV18="x","N/A",$B$8*($C$21*IF(CU18="x",CV18,CU18)+$C$22*IF(CV17="x",CV18,CV17)+$C$23*IF(CV19="x",CV18,CV19))+$B$9)</f>
        <v>N/A</v>
      </c>
    </row>
    <row r="28" spans="1:111" x14ac:dyDescent="0.25">
      <c r="A28" s="5" t="s">
        <v>30</v>
      </c>
      <c r="B28" t="s">
        <v>36</v>
      </c>
      <c r="H28" s="1" t="s">
        <v>5</v>
      </c>
      <c r="I28" s="1">
        <f>IF(B19="x","N/A",$B$8*($C$21*IF(B18="x",B19,B18)+$C$22*IF(A19="x",B19,A19)+$C$23*IF(C19="x",B19,C19))+$B$9)</f>
        <v>-0.99</v>
      </c>
      <c r="J28" s="1">
        <f>IF(B19="x","N/A",$B$8*($C$21*IF(C19="x",B19,C19)+$C$22*IF(B18="x",B19,B18)+$C$23*IF(B20="x",B19,B20))+$B$9)</f>
        <v>-0.99</v>
      </c>
      <c r="K28" s="1">
        <f>IF(B19="x","N/A",$B$8*($C$21*IF(B20="x",B19,B20)+$C$22*IF(A19="x",B19,A19)+$C$23*IF(C19="x",B19,C19))+$B$9)</f>
        <v>-0.99</v>
      </c>
      <c r="L28" s="1">
        <f>IF(B19="x","N/A",$B$8*($C$21*IF(A19="x",B19,A19)+$C$22*IF(B18="x",B19,B18)+$C$23*IF(B20="x",B19,B20))+$B$9)</f>
        <v>-0.99</v>
      </c>
      <c r="O28" s="1" t="s">
        <v>5</v>
      </c>
      <c r="P28" s="1">
        <f>IF(I19="x","N/A",$B$8*($C$21*IF(I18="x",I19,I18)+$C$22*IF(H19="x",I19,H19)+$C$23*IF(J19="x",I19,J19))+$B$9)</f>
        <v>-1.98</v>
      </c>
      <c r="Q28" s="1">
        <f>IF(I19="x","N/A",$B$8*($C$21*IF(J19="x",I19,J19)+$C$22*IF(I18="x",I19,I18)+$C$23*IF(I20="x",I19,I20))+$B$9)</f>
        <v>-1.98</v>
      </c>
      <c r="R28" s="1">
        <f>IF(I19="x","N/A",$B$8*($C$21*IF(I20="x",I19,I20)+$C$22*IF(H19="x",I19,H19)+$C$23*IF(J19="x",I19,J19))+$B$9)</f>
        <v>-1.98</v>
      </c>
      <c r="S28" s="1">
        <f>IF(I19="x","N/A",$B$8*($C$21*IF(H19="x",I19,H19)+$C$22*IF(I18="x",I19,I18)+$C$23*IF(I20="x",I19,I20))+$B$9)</f>
        <v>-1.98</v>
      </c>
      <c r="V28" s="1" t="s">
        <v>5</v>
      </c>
      <c r="W28" s="1">
        <f>IF(P19="x","N/A",$B$8*($C$21*IF(P18="x",P19,P18)+$C$22*IF(O19="x",P19,O19)+$C$23*IF(Q19="x",P19,Q19))+$B$9)</f>
        <v>-2.9699999999999998</v>
      </c>
      <c r="X28" s="1">
        <f>IF(P19="x","N/A",$B$8*($C$21*IF(Q19="x",P19,Q19)+$C$22*IF(P18="x",P19,P18)+$C$23*IF(P20="x",P19,P20))+$B$9)</f>
        <v>-2.9699999999999998</v>
      </c>
      <c r="Y28" s="1">
        <f>IF(P19="x","N/A",$B$8*($C$21*IF(P20="x",P19,P20)+$C$22*IF(O19="x",P19,O19)+$C$23*IF(Q19="x",P19,Q19))+$B$9)</f>
        <v>-2.9699999999999998</v>
      </c>
      <c r="Z28" s="1">
        <f>IF(P19="x","N/A",$B$8*($C$21*IF(O19="x",P19,O19)+$C$22*IF(P18="x",P19,P18)+$C$23*IF(P20="x",P19,P20))+$B$9)</f>
        <v>-2.9699999999999998</v>
      </c>
      <c r="AC28" s="1" t="s">
        <v>5</v>
      </c>
      <c r="AD28" s="1">
        <f>IF(W19="x","N/A",$B$8*($C$21*IF(W18="x",W19,W18)+$C$22*IF(V19="x",W19,V19)+$C$23*IF(X19="x",W19,X19))+$B$9)</f>
        <v>-3.96</v>
      </c>
      <c r="AE28" s="1">
        <f>IF(W19="x","N/A",$B$8*($C$21*IF(X19="x",W19,X19)+$C$22*IF(W18="x",W19,W18)+$C$23*IF(W20="x",W19,W20))+$B$9)</f>
        <v>-3.96</v>
      </c>
      <c r="AF28" s="1">
        <f>IF(W19="x","N/A",$B$8*($C$21*IF(W20="x",W19,W20)+$C$22*IF(V19="x",W19,V19)+$C$23*IF(X19="x",W19,X19))+$B$9)</f>
        <v>-3.96</v>
      </c>
      <c r="AG28" s="1">
        <f>IF(W19="x","N/A",$B$8*($C$21*IF(V19="x",W19,V19)+$C$22*IF(W18="x",W19,W18)+$C$23*IF(W20="x",W19,W20))+$B$9)</f>
        <v>-3.96</v>
      </c>
      <c r="AJ28" s="1" t="s">
        <v>5</v>
      </c>
      <c r="AK28" s="1">
        <f>IF(AD19="x","N/A",$B$8*($C$21*IF(AD18="x",AD19,AD18)+$C$22*IF(AC19="x",AD19,AC19)+$C$23*IF(AE19="x",AD19,AE19))+$B$9)</f>
        <v>-4.95</v>
      </c>
      <c r="AL28" s="1">
        <f>IF(AD19="x","N/A",$B$8*($C$21*IF(AE19="x",AD19,AE19)+$C$22*IF(AD18="x",AD19,AD18)+$C$23*IF(AD20="x",AD19,AD20))+$B$9)</f>
        <v>-4.95</v>
      </c>
      <c r="AM28" s="1">
        <f>IF(AD19="x","N/A",$B$8*($C$21*IF(AD20="x",AD19,AD20)+$C$22*IF(AC19="x",AD19,AC19)+$C$23*IF(AE19="x",AD19,AE19))+$B$9)</f>
        <v>-4.95</v>
      </c>
      <c r="AN28" s="1">
        <f>IF(AD19="x","N/A",$B$8*($C$21*IF(AC19="x",AD19,AC19)+$C$22*IF(AD18="x",AD19,AD18)+$C$23*IF(AD20="x",AD19,AD20))+$B$9)</f>
        <v>-4.95</v>
      </c>
      <c r="AQ28" s="1" t="s">
        <v>5</v>
      </c>
      <c r="AR28" s="1">
        <f>IF(AK19="x","N/A",$B$8*($C$21*IF(AK18="x",AK19,AK18)+$C$22*IF(AJ19="x",AK19,AJ19)+$C$23*IF(AL19="x",AK19,AL19))+$B$9)</f>
        <v>-5.94</v>
      </c>
      <c r="AS28" s="1">
        <f>IF(AK19="x","N/A",$B$8*($C$21*IF(AL19="x",AK19,AL19)+$C$22*IF(AK18="x",AK19,AK18)+$C$23*IF(AK20="x",AK19,AK20))+$B$9)</f>
        <v>-5.94</v>
      </c>
      <c r="AT28" s="1">
        <f>IF(AK19="x","N/A",$B$8*($C$21*IF(AK20="x",AK19,AK20)+$C$22*IF(AJ19="x",AK19,AJ19)+$C$23*IF(AL19="x",AK19,AL19))+$B$9)</f>
        <v>-5.94</v>
      </c>
      <c r="AU28" s="1">
        <f>IF(AK19="x","N/A",$B$8*($C$21*IF(AJ19="x",AK19,AJ19)+$C$22*IF(AK18="x",AK19,AK18)+$C$23*IF(AK20="x",AK19,AK20))+$B$9)</f>
        <v>-5.94</v>
      </c>
      <c r="AX28" s="1" t="s">
        <v>5</v>
      </c>
      <c r="AY28" s="1">
        <f>IF(AR19="x","N/A",$B$8*($C$21*IF(AR18="x",AR19,AR18)+$C$22*IF(AQ19="x",AR19,AQ19)+$C$23*IF(AS19="x",AR19,AS19))+$B$9)</f>
        <v>-6.9300000000000015</v>
      </c>
      <c r="AZ28" s="1">
        <f>IF(AR19="x","N/A",$B$8*($C$21*IF(AS19="x",AR19,AS19)+$C$22*IF(AR18="x",AR19,AR18)+$C$23*IF(AR20="x",AR19,AR20))+$B$9)</f>
        <v>-6.9300000000000015</v>
      </c>
      <c r="BA28" s="1">
        <f>IF(AR19="x","N/A",$B$8*($C$21*IF(AR20="x",AR19,AR20)+$C$22*IF(AQ19="x",AR19,AQ19)+$C$23*IF(AS19="x",AR19,AS19))+$B$9)</f>
        <v>-6.9300000000000015</v>
      </c>
      <c r="BB28" s="1">
        <f>IF(AR19="x","N/A",$B$8*($C$21*IF(AQ19="x",AR19,AQ19)+$C$22*IF(AR18="x",AR19,AR18)+$C$23*IF(AR20="x",AR19,AR20))+$B$9)</f>
        <v>-6.9300000000000015</v>
      </c>
      <c r="BE28" s="1" t="s">
        <v>5</v>
      </c>
      <c r="BF28" s="1">
        <f>IF(AY19="x","N/A",$B$8*($C$21*IF(AY18="x",AY19,AY18)+$C$22*IF(AX19="x",AY19,AX19)+$C$23*IF(AZ19="x",AY19,AZ19))+$B$9)</f>
        <v>-7.9200000000000026</v>
      </c>
      <c r="BG28" s="1">
        <f>IF(AY19="x","N/A",$B$8*($C$21*IF(AZ19="x",AY19,AZ19)+$C$22*IF(AY18="x",AY19,AY18)+$C$23*IF(AY20="x",AY19,AY20))+$B$9)</f>
        <v>-7.9200000000000026</v>
      </c>
      <c r="BH28" s="1">
        <f>IF(AY19="x","N/A",$B$8*($C$21*IF(AY20="x",AY19,AY20)+$C$22*IF(AX19="x",AY19,AX19)+$C$23*IF(AZ19="x",AY19,AZ19))+$B$9)</f>
        <v>-7.9200000000000026</v>
      </c>
      <c r="BI28" s="1">
        <f>IF(AY19="x","N/A",$B$8*($C$21*IF(AX19="x",AY19,AX19)+$C$22*IF(AY18="x",AY19,AY18)+$C$23*IF(AY20="x",AY19,AY20))+$B$9)</f>
        <v>-7.9200000000000026</v>
      </c>
      <c r="BL28" s="1" t="s">
        <v>5</v>
      </c>
      <c r="BM28" s="1">
        <f>IF(BF19="x","N/A",$B$8*($C$21*IF(BF18="x",BF19,BF18)+$C$22*IF(BE19="x",BF19,BE19)+$C$23*IF(BG19="x",BF19,BG19))+$B$9)</f>
        <v>-8.9100000000000019</v>
      </c>
      <c r="BN28" s="1">
        <f>IF(BF19="x","N/A",$B$8*($C$21*IF(BG19="x",BF19,BG19)+$C$22*IF(BF18="x",BF19,BF18)+$C$23*IF(BF20="x",BF19,BF20))+$B$9)</f>
        <v>-8.9100000000000019</v>
      </c>
      <c r="BO28" s="1">
        <f>IF(BF19="x","N/A",$B$8*($C$21*IF(BF20="x",BF19,BF20)+$C$22*IF(BE19="x",BF19,BE19)+$C$23*IF(BG19="x",BF19,BG19))+$B$9)</f>
        <v>-8.9100000000000019</v>
      </c>
      <c r="BP28" s="1">
        <f>IF(BF19="x","N/A",$B$8*($C$21*IF(BE19="x",BF19,BE19)+$C$22*IF(BF18="x",BF19,BF18)+$C$23*IF(BF20="x",BF19,BF20))+$B$9)</f>
        <v>-8.9100000000000019</v>
      </c>
      <c r="BS28" s="1" t="s">
        <v>5</v>
      </c>
      <c r="BT28" s="1">
        <f>IF(BM19="x","N/A",$B$8*($C$21*IF(BM18="x",BM19,BM18)+$C$22*IF(BL19="x",BM19,BL19)+$C$23*IF(BN19="x",BM19,BN19))+$B$9)</f>
        <v>-9.9000000000000021</v>
      </c>
      <c r="BU28" s="1">
        <f>IF(BM19="x","N/A",$B$8*($C$21*IF(BN19="x",BM19,BN19)+$C$22*IF(BM18="x",BM19,BM18)+$C$23*IF(BM20="x",BM19,BM20))+$B$9)</f>
        <v>-9.9000000000000021</v>
      </c>
      <c r="BV28" s="1">
        <f>IF(BM19="x","N/A",$B$8*($C$21*IF(BM20="x",BM19,BM20)+$C$22*IF(BL19="x",BM19,BL19)+$C$23*IF(BN19="x",BM19,BN19))+$B$9)</f>
        <v>-9.9000000000000021</v>
      </c>
      <c r="BW28" s="1">
        <f>IF(BM19="x","N/A",$B$8*($C$21*IF(BL19="x",BM19,BL19)+$C$22*IF(BM18="x",BM19,BM18)+$C$23*IF(BM20="x",BM19,BM20))+$B$9)</f>
        <v>-9.9000000000000021</v>
      </c>
      <c r="BZ28" s="1" t="s">
        <v>5</v>
      </c>
      <c r="CA28" s="1">
        <f>IF(BT19="x","N/A",$B$8*($C$21*IF(BT18="x",BT19,BT18)+$C$22*IF(BS19="x",BT19,BS19)+$C$23*IF(BU19="x",BT19,BU19))+$B$9)</f>
        <v>-10.890000000000002</v>
      </c>
      <c r="CB28" s="1">
        <f>IF(BT19="x","N/A",$B$8*($C$21*IF(BU19="x",BT19,BU19)+$C$22*IF(BT18="x",BT19,BT18)+$C$23*IF(BT20="x",BT19,BT20))+$B$9)</f>
        <v>-10.890000000000002</v>
      </c>
      <c r="CC28" s="1">
        <f>IF(BT19="x","N/A",$B$8*($C$21*IF(BT20="x",BT19,BT20)+$C$22*IF(BS19="x",BT19,BS19)+$C$23*IF(BU19="x",BT19,BU19))+$B$9)</f>
        <v>-10.890000000000002</v>
      </c>
      <c r="CD28" s="1">
        <f>IF(BT19="x","N/A",$B$8*($C$21*IF(BS19="x",BT19,BS19)+$C$22*IF(BT18="x",BT19,BT18)+$C$23*IF(BT20="x",BT19,BT20))+$B$9)</f>
        <v>-10.890000000000002</v>
      </c>
      <c r="CG28" s="1" t="s">
        <v>5</v>
      </c>
      <c r="CH28" s="1">
        <f>IF(CA19="x","N/A",$B$8*($C$21*IF(CA18="x",CA19,CA18)+$C$22*IF(BZ19="x",CA19,BZ19)+$C$23*IF(CB19="x",CA19,CB19))+$B$9)</f>
        <v>-11.880000000000003</v>
      </c>
      <c r="CI28" s="1">
        <f>IF(CA19="x","N/A",$B$8*($C$21*IF(CB19="x",CA19,CB19)+$C$22*IF(CA18="x",CA19,CA18)+$C$23*IF(CA20="x",CA19,CA20))+$B$9)</f>
        <v>-11.880000000000003</v>
      </c>
      <c r="CJ28" s="1">
        <f>IF(CA19="x","N/A",$B$8*($C$21*IF(CA20="x",CA19,CA20)+$C$22*IF(BZ19="x",CA19,BZ19)+$C$23*IF(CB19="x",CA19,CB19))+$B$9)</f>
        <v>-11.880000000000003</v>
      </c>
      <c r="CK28" s="1">
        <f>IF(CA19="x","N/A",$B$8*($C$21*IF(BZ19="x",CA19,BZ19)+$C$22*IF(CA18="x",CA19,CA18)+$C$23*IF(CA20="x",CA19,CA20))+$B$9)</f>
        <v>-11.880000000000003</v>
      </c>
      <c r="CN28" s="1" t="s">
        <v>5</v>
      </c>
      <c r="CO28" s="1">
        <f>IF(CH19="x","N/A",$B$8*($C$21*IF(CH18="x",CH19,CH18)+$C$22*IF(CG19="x",CH19,CG19)+$C$23*IF(CI19="x",CH19,CI19))+$B$9)</f>
        <v>-12.870000000000005</v>
      </c>
      <c r="CP28" s="1">
        <f>IF(CH19="x","N/A",$B$8*($C$21*IF(CI19="x",CH19,CI19)+$C$22*IF(CH18="x",CH19,CH18)+$C$23*IF(CH20="x",CH19,CH20))+$B$9)</f>
        <v>-12.870000000000005</v>
      </c>
      <c r="CQ28" s="1">
        <f>IF(CH19="x","N/A",$B$8*($C$21*IF(CH20="x",CH19,CH20)+$C$22*IF(CG19="x",CH19,CG19)+$C$23*IF(CI19="x",CH19,CI19))+$B$9)</f>
        <v>-12.870000000000005</v>
      </c>
      <c r="CR28" s="1">
        <f>IF(CH19="x","N/A",$B$8*($C$21*IF(CG19="x",CH19,CG19)+$C$22*IF(CH18="x",CH19,CH18)+$C$23*IF(CH20="x",CH19,CH20))+$B$9)</f>
        <v>-12.870000000000005</v>
      </c>
      <c r="CU28" s="1" t="s">
        <v>5</v>
      </c>
      <c r="CV28" s="1">
        <f>IF(CO19="x","N/A",$B$8*($C$21*IF(CO18="x",CO19,CO18)+$C$22*IF(CN19="x",CO19,CN19)+$C$23*IF(CP19="x",CO19,CP19))+$B$9)</f>
        <v>-13.854502441861126</v>
      </c>
      <c r="CW28" s="1">
        <f>IF(CO19="x","N/A",$B$8*($C$21*IF(CP19="x",CO19,CP19)+$C$22*IF(CO18="x",CO19,CO18)+$C$23*IF(CO20="x",CO19,CO20))+$B$9)</f>
        <v>-13.816019534888966</v>
      </c>
      <c r="CX28" s="1">
        <f>IF(CO19="x","N/A",$B$8*($C$21*IF(CO20="x",CO19,CO20)+$C$22*IF(CN19="x",CO19,CN19)+$C$23*IF(CP19="x",CO19,CP19))+$B$9)</f>
        <v>-13.854502441861126</v>
      </c>
      <c r="CY28" s="1">
        <f>IF(CO19="x","N/A",$B$8*($C$21*IF(CN19="x",CO19,CN19)+$C$22*IF(CO18="x",CO19,CO18)+$C$23*IF(CO20="x",CO19,CO20))+$B$9)</f>
        <v>-13.860000000000007</v>
      </c>
      <c r="DB28" s="1" t="s">
        <v>5</v>
      </c>
      <c r="DC28" s="1">
        <f>IF(CV19="x","N/A",$B$8*($C$21*IF(CV18="x",CV19,CV18)+$C$22*IF(CU19="x",CV19,CU19)+$C$23*IF(CW19="x",CV19,CW19))+$B$9)</f>
        <v>-14.787932568612051</v>
      </c>
      <c r="DD28" s="1">
        <f>IF(CV19="x","N/A",$B$8*($C$21*IF(CW19="x",CV19,CW19)+$C$22*IF(CV18="x",CV19,CV18)+$C$23*IF(CV20="x",CV19,CV20))+$B$9)</f>
        <v>-14.661323804673643</v>
      </c>
      <c r="DE28" s="1">
        <f>IF(CV19="x","N/A",$B$8*($C$21*IF(CV20="x",CV19,CV20)+$C$22*IF(CU19="x",CV19,CU19)+$C$23*IF(CW19="x",CV19,CW19))+$B$9)</f>
        <v>-14.787932568612051</v>
      </c>
      <c r="DF28" s="1">
        <f>IF(CV19="x","N/A",$B$8*($C$21*IF(CU19="x",CV19,CU19)+$C$22*IF(CV18="x",CV19,CV18)+$C$23*IF(CV20="x",CV19,CV20))+$B$9)</f>
        <v>-14.806019534888966</v>
      </c>
    </row>
    <row r="29" spans="1:111" x14ac:dyDescent="0.25">
      <c r="A29" s="4"/>
      <c r="B29" t="s">
        <v>32</v>
      </c>
      <c r="H29" s="1" t="s">
        <v>6</v>
      </c>
      <c r="I29" s="1" t="str">
        <f>IF(C14="x","N/A",$B$8*($C$21*IF(C13="x",C14,C13)+$C$22*IF(B14="x",C14,B14)+$C$23*IF(D14="x",C14,D14))+$B$9)</f>
        <v>N/A</v>
      </c>
      <c r="J29" s="1" t="str">
        <f>IF(C14="x","N/A",$B$8*($C$21*IF(D14="x",C14,D14)+$C$22*IF(C13="x",C14,C13)+$C$23*IF(C15="x",C14,C15))+$B$9)</f>
        <v>N/A</v>
      </c>
      <c r="K29" s="1" t="str">
        <f>IF(C14="x","N/A",$B$8*($C$21*IF(C15="x",C14,C15)+$C$22*IF(B14="x",C14,B14)+$C$23*IF(D14="x",C14,D14))+$B$9)</f>
        <v>N/A</v>
      </c>
      <c r="L29" s="1" t="str">
        <f>IF(C14="x","N/A",$B$8*($C$21*IF(B14="x",C14,B14)+$C$22*IF(C13="x",C14,C13)+$C$23*IF(C15="x",C14,C15))+$B$9)</f>
        <v>N/A</v>
      </c>
      <c r="O29" s="1" t="s">
        <v>6</v>
      </c>
      <c r="P29" s="1" t="str">
        <f>IF(J14="x","N/A",$B$8*($C$21*IF(J13="x",J14,J13)+$C$22*IF(I14="x",J14,I14)+$C$23*IF(K14="x",J14,K14))+$B$9)</f>
        <v>N/A</v>
      </c>
      <c r="Q29" s="1" t="str">
        <f>IF(J14="x","N/A",$B$8*($C$21*IF(K14="x",J14,K14)+$C$22*IF(J13="x",J14,J13)+$C$23*IF(J15="x",J14,J15))+$B$9)</f>
        <v>N/A</v>
      </c>
      <c r="R29" s="1" t="str">
        <f>IF(J14="x","N/A",$B$8*($C$21*IF(J15="x",J14,J15)+$C$22*IF(I14="x",J14,I14)+$C$23*IF(K14="x",J14,K14))+$B$9)</f>
        <v>N/A</v>
      </c>
      <c r="S29" s="1" t="str">
        <f>IF(J14="x","N/A",$B$8*($C$21*IF(I14="x",J14,I14)+$C$22*IF(J13="x",J14,J13)+$C$23*IF(J15="x",J14,J15))+$B$9)</f>
        <v>N/A</v>
      </c>
      <c r="V29" s="1" t="s">
        <v>6</v>
      </c>
      <c r="W29" s="1" t="str">
        <f>IF(Q14="x","N/A",$B$8*($C$21*IF(Q13="x",Q14,Q13)+$C$22*IF(P14="x",Q14,P14)+$C$23*IF(R14="x",Q14,R14))+$B$9)</f>
        <v>N/A</v>
      </c>
      <c r="X29" s="1" t="str">
        <f>IF(Q14="x","N/A",$B$8*($C$21*IF(R14="x",Q14,R14)+$C$22*IF(Q13="x",Q14,Q13)+$C$23*IF(Q15="x",Q14,Q15))+$B$9)</f>
        <v>N/A</v>
      </c>
      <c r="Y29" s="1" t="str">
        <f>IF(Q14="x","N/A",$B$8*($C$21*IF(Q15="x",Q14,Q15)+$C$22*IF(P14="x",Q14,P14)+$C$23*IF(R14="x",Q14,R14))+$B$9)</f>
        <v>N/A</v>
      </c>
      <c r="Z29" s="1" t="str">
        <f>IF(Q14="x","N/A",$B$8*($C$21*IF(P14="x",Q14,P14)+$C$22*IF(Q13="x",Q14,Q13)+$C$23*IF(Q15="x",Q14,Q15))+$B$9)</f>
        <v>N/A</v>
      </c>
      <c r="AC29" s="1" t="s">
        <v>6</v>
      </c>
      <c r="AD29" s="1" t="str">
        <f>IF(X14="x","N/A",$B$8*($C$21*IF(X13="x",X14,X13)+$C$22*IF(W14="x",X14,W14)+$C$23*IF(Y14="x",X14,Y14))+$B$9)</f>
        <v>N/A</v>
      </c>
      <c r="AE29" s="1" t="str">
        <f>IF(X14="x","N/A",$B$8*($C$21*IF(Y14="x",X14,Y14)+$C$22*IF(X13="x",X14,X13)+$C$23*IF(X15="x",X14,X15))+$B$9)</f>
        <v>N/A</v>
      </c>
      <c r="AF29" s="1" t="str">
        <f>IF(X14="x","N/A",$B$8*($C$21*IF(X15="x",X14,X15)+$C$22*IF(W14="x",X14,W14)+$C$23*IF(Y14="x",X14,Y14))+$B$9)</f>
        <v>N/A</v>
      </c>
      <c r="AG29" s="1" t="str">
        <f>IF(X14="x","N/A",$B$8*($C$21*IF(W14="x",X14,W14)+$C$22*IF(X13="x",X14,X13)+$C$23*IF(X15="x",X14,X15))+$B$9)</f>
        <v>N/A</v>
      </c>
      <c r="AJ29" s="1" t="s">
        <v>6</v>
      </c>
      <c r="AK29" s="1" t="str">
        <f>IF(AE14="x","N/A",$B$8*($C$21*IF(AE13="x",AE14,AE13)+$C$22*IF(AD14="x",AE14,AD14)+$C$23*IF(AF14="x",AE14,AF14))+$B$9)</f>
        <v>N/A</v>
      </c>
      <c r="AL29" s="1" t="str">
        <f>IF(AE14="x","N/A",$B$8*($C$21*IF(AF14="x",AE14,AF14)+$C$22*IF(AE13="x",AE14,AE13)+$C$23*IF(AE15="x",AE14,AE15))+$B$9)</f>
        <v>N/A</v>
      </c>
      <c r="AM29" s="1" t="str">
        <f>IF(AE14="x","N/A",$B$8*($C$21*IF(AE15="x",AE14,AE15)+$C$22*IF(AD14="x",AE14,AD14)+$C$23*IF(AF14="x",AE14,AF14))+$B$9)</f>
        <v>N/A</v>
      </c>
      <c r="AN29" s="1" t="str">
        <f>IF(AE14="x","N/A",$B$8*($C$21*IF(AD14="x",AE14,AD14)+$C$22*IF(AE13="x",AE14,AE13)+$C$23*IF(AE15="x",AE14,AE15))+$B$9)</f>
        <v>N/A</v>
      </c>
      <c r="AQ29" s="1" t="s">
        <v>6</v>
      </c>
      <c r="AR29" s="1" t="str">
        <f>IF(AL14="x","N/A",$B$8*($C$21*IF(AL13="x",AL14,AL13)+$C$22*IF(AK14="x",AL14,AK14)+$C$23*IF(AM14="x",AL14,AM14))+$B$9)</f>
        <v>N/A</v>
      </c>
      <c r="AS29" s="1" t="str">
        <f>IF(AL14="x","N/A",$B$8*($C$21*IF(AM14="x",AL14,AM14)+$C$22*IF(AL13="x",AL14,AL13)+$C$23*IF(AL15="x",AL14,AL15))+$B$9)</f>
        <v>N/A</v>
      </c>
      <c r="AT29" s="1" t="str">
        <f>IF(AL14="x","N/A",$B$8*($C$21*IF(AL15="x",AL14,AL15)+$C$22*IF(AK14="x",AL14,AK14)+$C$23*IF(AM14="x",AL14,AM14))+$B$9)</f>
        <v>N/A</v>
      </c>
      <c r="AU29" s="1" t="str">
        <f>IF(AL14="x","N/A",$B$8*($C$21*IF(AK14="x",AL14,AK14)+$C$22*IF(AL13="x",AL14,AL13)+$C$23*IF(AL15="x",AL14,AL15))+$B$9)</f>
        <v>N/A</v>
      </c>
      <c r="AX29" s="1" t="s">
        <v>6</v>
      </c>
      <c r="AY29" s="1" t="str">
        <f>IF(AS14="x","N/A",$B$8*($C$21*IF(AS13="x",AS14,AS13)+$C$22*IF(AR14="x",AS14,AR14)+$C$23*IF(AT14="x",AS14,AT14))+$B$9)</f>
        <v>N/A</v>
      </c>
      <c r="AZ29" s="1" t="str">
        <f>IF(AS14="x","N/A",$B$8*($C$21*IF(AT14="x",AS14,AT14)+$C$22*IF(AS13="x",AS14,AS13)+$C$23*IF(AS15="x",AS14,AS15))+$B$9)</f>
        <v>N/A</v>
      </c>
      <c r="BA29" s="1" t="str">
        <f>IF(AS14="x","N/A",$B$8*($C$21*IF(AS15="x",AS14,AS15)+$C$22*IF(AR14="x",AS14,AR14)+$C$23*IF(AT14="x",AS14,AT14))+$B$9)</f>
        <v>N/A</v>
      </c>
      <c r="BB29" s="1" t="str">
        <f>IF(AS14="x","N/A",$B$8*($C$21*IF(AR14="x",AS14,AR14)+$C$22*IF(AS13="x",AS14,AS13)+$C$23*IF(AS15="x",AS14,AS15))+$B$9)</f>
        <v>N/A</v>
      </c>
      <c r="BE29" s="1" t="s">
        <v>6</v>
      </c>
      <c r="BF29" s="1" t="str">
        <f>IF(AZ14="x","N/A",$B$8*($C$21*IF(AZ13="x",AZ14,AZ13)+$C$22*IF(AY14="x",AZ14,AY14)+$C$23*IF(BA14="x",AZ14,BA14))+$B$9)</f>
        <v>N/A</v>
      </c>
      <c r="BG29" s="1" t="str">
        <f>IF(AZ14="x","N/A",$B$8*($C$21*IF(BA14="x",AZ14,BA14)+$C$22*IF(AZ13="x",AZ14,AZ13)+$C$23*IF(AZ15="x",AZ14,AZ15))+$B$9)</f>
        <v>N/A</v>
      </c>
      <c r="BH29" s="1" t="str">
        <f>IF(AZ14="x","N/A",$B$8*($C$21*IF(AZ15="x",AZ14,AZ15)+$C$22*IF(AY14="x",AZ14,AY14)+$C$23*IF(BA14="x",AZ14,BA14))+$B$9)</f>
        <v>N/A</v>
      </c>
      <c r="BI29" s="1" t="str">
        <f>IF(AZ14="x","N/A",$B$8*($C$21*IF(AY14="x",AZ14,AY14)+$C$22*IF(AZ13="x",AZ14,AZ13)+$C$23*IF(AZ15="x",AZ14,AZ15))+$B$9)</f>
        <v>N/A</v>
      </c>
      <c r="BL29" s="1" t="s">
        <v>6</v>
      </c>
      <c r="BM29" s="1" t="str">
        <f>IF(BG14="x","N/A",$B$8*($C$21*IF(BG13="x",BG14,BG13)+$C$22*IF(BF14="x",BG14,BF14)+$C$23*IF(BH14="x",BG14,BH14))+$B$9)</f>
        <v>N/A</v>
      </c>
      <c r="BN29" s="1" t="str">
        <f>IF(BG14="x","N/A",$B$8*($C$21*IF(BH14="x",BG14,BH14)+$C$22*IF(BG13="x",BG14,BG13)+$C$23*IF(BG15="x",BG14,BG15))+$B$9)</f>
        <v>N/A</v>
      </c>
      <c r="BO29" s="1" t="str">
        <f>IF(BG14="x","N/A",$B$8*($C$21*IF(BG15="x",BG14,BG15)+$C$22*IF(BF14="x",BG14,BF14)+$C$23*IF(BH14="x",BG14,BH14))+$B$9)</f>
        <v>N/A</v>
      </c>
      <c r="BP29" s="1" t="str">
        <f>IF(BG14="x","N/A",$B$8*($C$21*IF(BF14="x",BG14,BF14)+$C$22*IF(BG13="x",BG14,BG13)+$C$23*IF(BG15="x",BG14,BG15))+$B$9)</f>
        <v>N/A</v>
      </c>
      <c r="BS29" s="1" t="s">
        <v>6</v>
      </c>
      <c r="BT29" s="1" t="str">
        <f>IF(BN14="x","N/A",$B$8*($C$21*IF(BN13="x",BN14,BN13)+$C$22*IF(BM14="x",BN14,BM14)+$C$23*IF(BO14="x",BN14,BO14))+$B$9)</f>
        <v>N/A</v>
      </c>
      <c r="BU29" s="1" t="str">
        <f>IF(BN14="x","N/A",$B$8*($C$21*IF(BO14="x",BN14,BO14)+$C$22*IF(BN13="x",BN14,BN13)+$C$23*IF(BN15="x",BN14,BN15))+$B$9)</f>
        <v>N/A</v>
      </c>
      <c r="BV29" s="1" t="str">
        <f>IF(BN14="x","N/A",$B$8*($C$21*IF(BN15="x",BN14,BN15)+$C$22*IF(BM14="x",BN14,BM14)+$C$23*IF(BO14="x",BN14,BO14))+$B$9)</f>
        <v>N/A</v>
      </c>
      <c r="BW29" s="1" t="str">
        <f>IF(BN14="x","N/A",$B$8*($C$21*IF(BM14="x",BN14,BM14)+$C$22*IF(BN13="x",BN14,BN13)+$C$23*IF(BN15="x",BN14,BN15))+$B$9)</f>
        <v>N/A</v>
      </c>
      <c r="BZ29" s="1" t="s">
        <v>6</v>
      </c>
      <c r="CA29" s="1" t="str">
        <f>IF(BU14="x","N/A",$B$8*($C$21*IF(BU13="x",BU14,BU13)+$C$22*IF(BT14="x",BU14,BT14)+$C$23*IF(BV14="x",BU14,BV14))+$B$9)</f>
        <v>N/A</v>
      </c>
      <c r="CB29" s="1" t="str">
        <f>IF(BU14="x","N/A",$B$8*($C$21*IF(BV14="x",BU14,BV14)+$C$22*IF(BU13="x",BU14,BU13)+$C$23*IF(BU15="x",BU14,BU15))+$B$9)</f>
        <v>N/A</v>
      </c>
      <c r="CC29" s="1" t="str">
        <f>IF(BU14="x","N/A",$B$8*($C$21*IF(BU15="x",BU14,BU15)+$C$22*IF(BT14="x",BU14,BT14)+$C$23*IF(BV14="x",BU14,BV14))+$B$9)</f>
        <v>N/A</v>
      </c>
      <c r="CD29" s="1" t="str">
        <f>IF(BU14="x","N/A",$B$8*($C$21*IF(BT14="x",BU14,BT14)+$C$22*IF(BU13="x",BU14,BU13)+$C$23*IF(BU15="x",BU14,BU15))+$B$9)</f>
        <v>N/A</v>
      </c>
      <c r="CG29" s="1" t="s">
        <v>6</v>
      </c>
      <c r="CH29" s="1" t="str">
        <f>IF(CB14="x","N/A",$B$8*($C$21*IF(CB13="x",CB14,CB13)+$C$22*IF(CA14="x",CB14,CA14)+$C$23*IF(CC14="x",CB14,CC14))+$B$9)</f>
        <v>N/A</v>
      </c>
      <c r="CI29" s="1" t="str">
        <f>IF(CB14="x","N/A",$B$8*($C$21*IF(CC14="x",CB14,CC14)+$C$22*IF(CB13="x",CB14,CB13)+$C$23*IF(CB15="x",CB14,CB15))+$B$9)</f>
        <v>N/A</v>
      </c>
      <c r="CJ29" s="1" t="str">
        <f>IF(CB14="x","N/A",$B$8*($C$21*IF(CB15="x",CB14,CB15)+$C$22*IF(CA14="x",CB14,CA14)+$C$23*IF(CC14="x",CB14,CC14))+$B$9)</f>
        <v>N/A</v>
      </c>
      <c r="CK29" s="1" t="str">
        <f>IF(CB14="x","N/A",$B$8*($C$21*IF(CA14="x",CB14,CA14)+$C$22*IF(CB13="x",CB14,CB13)+$C$23*IF(CB15="x",CB14,CB15))+$B$9)</f>
        <v>N/A</v>
      </c>
      <c r="CN29" s="1" t="s">
        <v>6</v>
      </c>
      <c r="CO29" s="1" t="str">
        <f>IF(CI14="x","N/A",$B$8*($C$21*IF(CI13="x",CI14,CI13)+$C$22*IF(CH14="x",CI14,CH14)+$C$23*IF(CJ14="x",CI14,CJ14))+$B$9)</f>
        <v>N/A</v>
      </c>
      <c r="CP29" s="1" t="str">
        <f>IF(CI14="x","N/A",$B$8*($C$21*IF(CJ14="x",CI14,CJ14)+$C$22*IF(CI13="x",CI14,CI13)+$C$23*IF(CI15="x",CI14,CI15))+$B$9)</f>
        <v>N/A</v>
      </c>
      <c r="CQ29" s="1" t="str">
        <f>IF(CI14="x","N/A",$B$8*($C$21*IF(CI15="x",CI14,CI15)+$C$22*IF(CH14="x",CI14,CH14)+$C$23*IF(CJ14="x",CI14,CJ14))+$B$9)</f>
        <v>N/A</v>
      </c>
      <c r="CR29" s="1" t="str">
        <f>IF(CI14="x","N/A",$B$8*($C$21*IF(CH14="x",CI14,CH14)+$C$22*IF(CI13="x",CI14,CI13)+$C$23*IF(CI15="x",CI14,CI15))+$B$9)</f>
        <v>N/A</v>
      </c>
      <c r="CU29" s="1" t="s">
        <v>6</v>
      </c>
      <c r="CV29" s="1" t="str">
        <f>IF(CP14="x","N/A",$B$8*($C$21*IF(CP13="x",CP14,CP13)+$C$22*IF(CO14="x",CP14,CO14)+$C$23*IF(CQ14="x",CP14,CQ14))+$B$9)</f>
        <v>N/A</v>
      </c>
      <c r="CW29" s="1" t="str">
        <f>IF(CP14="x","N/A",$B$8*($C$21*IF(CQ14="x",CP14,CQ14)+$C$22*IF(CP13="x",CP14,CP13)+$C$23*IF(CP15="x",CP14,CP15))+$B$9)</f>
        <v>N/A</v>
      </c>
      <c r="CX29" s="1" t="str">
        <f>IF(CP14="x","N/A",$B$8*($C$21*IF(CP15="x",CP14,CP15)+$C$22*IF(CO14="x",CP14,CO14)+$C$23*IF(CQ14="x",CP14,CQ14))+$B$9)</f>
        <v>N/A</v>
      </c>
      <c r="CY29" s="1" t="str">
        <f>IF(CP14="x","N/A",$B$8*($C$21*IF(CO14="x",CP14,CO14)+$C$22*IF(CP13="x",CP14,CP13)+$C$23*IF(CP15="x",CP14,CP15))+$B$9)</f>
        <v>N/A</v>
      </c>
      <c r="DB29" s="1" t="s">
        <v>6</v>
      </c>
      <c r="DC29" s="1" t="str">
        <f>IF(CW14="x","N/A",$B$8*($C$21*IF(CW13="x",CW14,CW13)+$C$22*IF(CV14="x",CW14,CV14)+$C$23*IF(CX14="x",CW14,CX14))+$B$9)</f>
        <v>N/A</v>
      </c>
      <c r="DD29" s="1" t="str">
        <f>IF(CW14="x","N/A",$B$8*($C$21*IF(CX14="x",CW14,CX14)+$C$22*IF(CW13="x",CW14,CW13)+$C$23*IF(CW15="x",CW14,CW15))+$B$9)</f>
        <v>N/A</v>
      </c>
      <c r="DE29" s="1" t="str">
        <f>IF(CW14="x","N/A",$B$8*($C$21*IF(CW15="x",CW14,CW15)+$C$22*IF(CV14="x",CW14,CV14)+$C$23*IF(CX14="x",CW14,CX14))+$B$9)</f>
        <v>N/A</v>
      </c>
      <c r="DF29" s="1" t="str">
        <f>IF(CW14="x","N/A",$B$8*($C$21*IF(CV14="x",CW14,CV14)+$C$22*IF(CW13="x",CW14,CW13)+$C$23*IF(CW15="x",CW14,CW15))+$B$9)</f>
        <v>N/A</v>
      </c>
    </row>
    <row r="30" spans="1:111" x14ac:dyDescent="0.25">
      <c r="A30" t="s">
        <v>30</v>
      </c>
      <c r="B30" t="s">
        <v>37</v>
      </c>
      <c r="H30" s="1" t="s">
        <v>7</v>
      </c>
      <c r="I30" s="1">
        <f>IF(C15="x","N/A",$B$8*($C$21*IF(C14="x",C15,C14)+$C$22*IF(B15="x",C15,B15)+$C$23*IF(D15="x",C15,D15))+$B$9)</f>
        <v>-0.99</v>
      </c>
      <c r="J30" s="1">
        <f>IF(C15="x","N/A",$B$8*($C$21*IF(D15="x",C15,D15)+$C$22*IF(C14="x",C15,C14)+$C$23*IF(C16="x",C15,C16))+$B$9)</f>
        <v>-0.99</v>
      </c>
      <c r="K30" s="1">
        <f>IF(C15="x","N/A",$B$8*($C$21*IF(C16="x",C15,C16)+$C$22*IF(B15="x",C15,B15)+$C$23*IF(D15="x",C15,D15))+$B$9)</f>
        <v>-0.99</v>
      </c>
      <c r="L30" s="1">
        <f>IF(C15="x","N/A",$B$8*($C$21*IF(B15="x",C15,B15)+$C$22*IF(C14="x",C15,C14)+$C$23*IF(C16="x",C15,C16))+$B$9)</f>
        <v>-0.99</v>
      </c>
      <c r="O30" s="1" t="s">
        <v>7</v>
      </c>
      <c r="P30" s="1">
        <f>IF(J15="x","N/A",$B$8*($C$21*IF(J14="x",J15,J14)+$C$22*IF(I15="x",J15,I15)+$C$23*IF(K15="x",J15,K15))+$B$9)</f>
        <v>-1.98</v>
      </c>
      <c r="Q30" s="1">
        <f>IF(J15="x","N/A",$B$8*($C$21*IF(K15="x",J15,K15)+$C$22*IF(J14="x",J15,J14)+$C$23*IF(J16="x",J15,J16))+$B$9)</f>
        <v>-1.98</v>
      </c>
      <c r="R30" s="1">
        <f>IF(J15="x","N/A",$B$8*($C$21*IF(J16="x",J15,J16)+$C$22*IF(I15="x",J15,I15)+$C$23*IF(K15="x",J15,K15))+$B$9)</f>
        <v>-1.98</v>
      </c>
      <c r="S30" s="1">
        <f>IF(J15="x","N/A",$B$8*($C$21*IF(I15="x",J15,I15)+$C$22*IF(J14="x",J15,J14)+$C$23*IF(J16="x",J15,J16))+$B$9)</f>
        <v>-1.98</v>
      </c>
      <c r="V30" s="1" t="s">
        <v>7</v>
      </c>
      <c r="W30" s="1">
        <f>IF(Q15="x","N/A",$B$8*($C$21*IF(Q14="x",Q15,Q14)+$C$22*IF(P15="x",Q15,P15)+$C$23*IF(R15="x",Q15,R15))+$B$9)</f>
        <v>-2.9059999999999997</v>
      </c>
      <c r="X30" s="1">
        <f>IF(Q15="x","N/A",$B$8*($C$21*IF(R15="x",Q15,R15)+$C$22*IF(Q14="x",Q15,Q14)+$C$23*IF(Q16="x",Q15,Q16))+$B$9)</f>
        <v>-2.4579999999999997</v>
      </c>
      <c r="Y30" s="1">
        <f>IF(Q15="x","N/A",$B$8*($C$21*IF(Q16="x",Q15,Q16)+$C$22*IF(P15="x",Q15,P15)+$C$23*IF(R15="x",Q15,R15))+$B$9)</f>
        <v>-2.9059999999999997</v>
      </c>
      <c r="Z30" s="1">
        <f>IF(Q15="x","N/A",$B$8*($C$21*IF(P15="x",Q15,P15)+$C$22*IF(Q14="x",Q15,Q14)+$C$23*IF(Q16="x",Q15,Q16))+$B$9)</f>
        <v>-2.9699999999999998</v>
      </c>
      <c r="AC30" s="1" t="s">
        <v>7</v>
      </c>
      <c r="AD30" s="1">
        <f>IF(X15="x","N/A",$B$8*($C$21*IF(X14="x",X15,X14)+$C$22*IF(W15="x",X15,W15)+$C$23*IF(Y15="x",X15,Y15))+$B$9)</f>
        <v>-3.4038399999999998</v>
      </c>
      <c r="AE30" s="1">
        <f>IF(X15="x","N/A",$B$8*($C$21*IF(Y15="x",X15,Y15)+$C$22*IF(X14="x",X15,X14)+$C$23*IF(X16="x",X15,X16))+$B$9)</f>
        <v>-2.6851200000000004</v>
      </c>
      <c r="AF30" s="1">
        <f>IF(X15="x","N/A",$B$8*($C$21*IF(X16="x",X15,X16)+$C$22*IF(W15="x",X15,W15)+$C$23*IF(Y15="x",X15,Y15))+$B$9)</f>
        <v>-3.4038399999999998</v>
      </c>
      <c r="AG30" s="1">
        <f>IF(X15="x","N/A",$B$8*($C$21*IF(W15="x",X15,W15)+$C$22*IF(X14="x",X15,X14)+$C$23*IF(X16="x",X15,X16))+$B$9)</f>
        <v>-3.8575999999999997</v>
      </c>
      <c r="AJ30" s="1" t="s">
        <v>7</v>
      </c>
      <c r="AK30" s="1">
        <f>IF(AE15="x","N/A",$B$8*($C$21*IF(AE14="x",AE15,AE14)+$C$22*IF(AD15="x",AE15,AD15)+$C$23*IF(AF15="x",AE15,AF15))+$B$9)</f>
        <v>-3.6506080000000001</v>
      </c>
      <c r="AL30" s="1">
        <f>IF(AE15="x","N/A",$B$8*($C$21*IF(AF15="x",AE15,AF15)+$C$22*IF(AE14="x",AE15,AE14)+$C$23*IF(AE16="x",AE15,AE16))+$B$9)</f>
        <v>-2.7868000000000004</v>
      </c>
      <c r="AM30" s="1">
        <f>IF(AE15="x","N/A",$B$8*($C$21*IF(AE16="x",AE15,AE16)+$C$22*IF(AD15="x",AE15,AD15)+$C$23*IF(AF15="x",AE15,AF15))+$B$9)</f>
        <v>-3.6506080000000001</v>
      </c>
      <c r="AN30" s="1">
        <f>IF(AE15="x","N/A",$B$8*($C$21*IF(AD15="x",AE15,AD15)+$C$22*IF(AE14="x",AE15,AE14)+$C$23*IF(AE16="x",AE15,AE16))+$B$9)</f>
        <v>-4.3673440000000001</v>
      </c>
      <c r="AQ30" s="1" t="s">
        <v>7</v>
      </c>
      <c r="AR30" s="1">
        <f>IF(AL15="x","N/A",$B$8*($C$21*IF(AL14="x",AL15,AL14)+$C$22*IF(AK15="x",AL15,AK15)+$C$23*IF(AM15="x",AL15,AM15))+$B$9)</f>
        <v>-3.7689216000000005</v>
      </c>
      <c r="AS30" s="1">
        <f>IF(AL15="x","N/A",$B$8*($C$21*IF(AM15="x",AL15,AM15)+$C$22*IF(AL14="x",AL15,AL14)+$C$23*IF(AL16="x",AL15,AL16))+$B$9)</f>
        <v>-2.8319040000000002</v>
      </c>
      <c r="AT30" s="1">
        <f>IF(AL15="x","N/A",$B$8*($C$21*IF(AL16="x",AL15,AL16)+$C$22*IF(AK15="x",AL15,AK15)+$C$23*IF(AM15="x",AL15,AM15))+$B$9)</f>
        <v>-3.7689216000000005</v>
      </c>
      <c r="AU30" s="1">
        <f>IF(AL15="x","N/A",$B$8*($C$21*IF(AK15="x",AL15,AK15)+$C$22*IF(AL14="x",AL15,AL14)+$C$23*IF(AL16="x",AL15,AL16))+$B$9)</f>
        <v>-4.6586688000000009</v>
      </c>
      <c r="AX30" s="1" t="s">
        <v>7</v>
      </c>
      <c r="AY30" s="1">
        <f>IF(AS15="x","N/A",$B$8*($C$21*IF(AS14="x",AS15,AS14)+$C$22*IF(AR15="x",AS15,AR15)+$C$23*IF(AT15="x",AS15,AT15))+$B$9)</f>
        <v>-3.8245004800000002</v>
      </c>
      <c r="AZ30" s="1">
        <f>IF(AS15="x","N/A",$B$8*($C$21*IF(AT15="x",AS15,AT15)+$C$22*IF(AS14="x",AS15,AS14)+$C$23*IF(AS16="x",AS15,AS16))+$B$9)</f>
        <v>-2.85173056</v>
      </c>
      <c r="BA30" s="1">
        <f>IF(AS15="x","N/A",$B$8*($C$21*IF(AS16="x",AS15,AS16)+$C$22*IF(AR15="x",AS15,AR15)+$C$23*IF(AT15="x",AS15,AT15))+$B$9)</f>
        <v>-3.8245004800000002</v>
      </c>
      <c r="BB30" s="1">
        <f>IF(AS15="x","N/A",$B$8*($C$21*IF(AR15="x",AS15,AR15)+$C$22*IF(AS14="x",AS15,AS14)+$C$23*IF(AS16="x",AS15,AS16))+$B$9)</f>
        <v>-4.8128492800000009</v>
      </c>
      <c r="BE30" s="1" t="s">
        <v>7</v>
      </c>
      <c r="BF30" s="1">
        <f>IF(AZ15="x","N/A",$B$8*($C$21*IF(AZ14="x",AZ15,AZ14)+$C$22*IF(AY15="x",AZ15,AY15)+$C$23*IF(BA15="x",AZ15,BA15))+$B$9)</f>
        <v>-3.8504100480000005</v>
      </c>
      <c r="BG30" s="1">
        <f>IF(AZ15="x","N/A",$B$8*($C$21*IF(BA15="x",AZ15,BA15)+$C$22*IF(AZ14="x",AZ15,AZ14)+$C$23*IF(AZ16="x",AZ15,AZ16))+$B$9)</f>
        <v>-2.8604236800000002</v>
      </c>
      <c r="BH30" s="1">
        <f>IF(AZ15="x","N/A",$B$8*($C$21*IF(AZ16="x",AZ15,AZ16)+$C$22*IF(AY15="x",AZ15,AY15)+$C$23*IF(BA15="x",AZ15,BA15))+$B$9)</f>
        <v>-3.8504100480000005</v>
      </c>
      <c r="BI30" s="1">
        <f>IF(AZ15="x","N/A",$B$8*($C$21*IF(AY15="x",AZ15,AY15)+$C$22*IF(AZ14="x",AZ15,AZ14)+$C$23*IF(AZ16="x",AZ15,AZ16))+$B$9)</f>
        <v>-4.8924733439999999</v>
      </c>
      <c r="BL30" s="1" t="s">
        <v>7</v>
      </c>
      <c r="BM30" s="1">
        <f>IF(BG15="x","N/A",$B$8*($C$21*IF(BG14="x",BG15,BG14)+$C$22*IF(BF15="x",BG15,BF15)+$C$23*IF(BH15="x",BG15,BH15))+$B$9)</f>
        <v>-3.8624132416000005</v>
      </c>
      <c r="BN30" s="1">
        <f>IF(BG15="x","N/A",$B$8*($C$21*IF(BH15="x",BG15,BH15)+$C$22*IF(BG14="x",BG15,BG14)+$C$23*IF(BG16="x",BG15,BG16))+$B$9)</f>
        <v>-2.8642289920000001</v>
      </c>
      <c r="BO30" s="1">
        <f>IF(BG15="x","N/A",$B$8*($C$21*IF(BG16="x",BG15,BG16)+$C$22*IF(BF15="x",BG15,BF15)+$C$23*IF(BH15="x",BG15,BH15))+$B$9)</f>
        <v>-3.8624132416000005</v>
      </c>
      <c r="BP30" s="1">
        <f>IF(BG15="x","N/A",$B$8*($C$21*IF(BF15="x",BG15,BF15)+$C$22*IF(BG14="x",BG15,BG14)+$C$23*IF(BG16="x",BG15,BG16))+$B$9)</f>
        <v>-4.9325348608000006</v>
      </c>
      <c r="BS30" s="1" t="s">
        <v>7</v>
      </c>
      <c r="BT30" s="1">
        <f>IF(BN15="x","N/A",$B$8*($C$21*IF(BN14="x",BN15,BN14)+$C$22*IF(BM15="x",BN15,BM15)+$C$23*IF(BO15="x",BN15,BO15))+$B$9)</f>
        <v>-3.8679532243200008</v>
      </c>
      <c r="BU30" s="1">
        <f>IF(BN15="x","N/A",$B$8*($C$21*IF(BO15="x",BN15,BO15)+$C$22*IF(BN14="x",BN15,BN14)+$C$23*IF(BN16="x",BN15,BN16))+$B$9)</f>
        <v>-2.8658937292799997</v>
      </c>
      <c r="BV30" s="1">
        <f>IF(BN15="x","N/A",$B$8*($C$21*IF(BN16="x",BN15,BN16)+$C$22*IF(BM15="x",BN15,BM15)+$C$23*IF(BO15="x",BN15,BO15))+$B$9)</f>
        <v>-3.8679532243200008</v>
      </c>
      <c r="BW30" s="1">
        <f>IF(BN15="x","N/A",$B$8*($C$21*IF(BM15="x",BN15,BM15)+$C$22*IF(BN14="x",BN15,BN14)+$C$23*IF(BN16="x",BN15,BN16))+$B$9)</f>
        <v>-4.9523581132800008</v>
      </c>
      <c r="BZ30" s="1" t="s">
        <v>7</v>
      </c>
      <c r="CA30" s="1">
        <f>IF(BU15="x","N/A",$B$8*($C$21*IF(BU14="x",BU15,BU14)+$C$22*IF(BT15="x",BU15,BT15)+$C$23*IF(BV15="x",BU15,BV15))+$B$9)</f>
        <v>-3.8705019909759999</v>
      </c>
      <c r="CB30" s="1">
        <f>IF(BU15="x","N/A",$B$8*($C$21*IF(BV15="x",BU15,BV15)+$C$22*IF(BU14="x",BU15,BU14)+$C$23*IF(BU16="x",BU15,BU16))+$B$9)</f>
        <v>-2.86662178048</v>
      </c>
      <c r="CC30" s="1">
        <f>IF(BU15="x","N/A",$B$8*($C$21*IF(BU16="x",BU15,BU16)+$C$22*IF(BT15="x",BU15,BT15)+$C$23*IF(BV15="x",BU15,BV15))+$B$9)</f>
        <v>-3.8705019909759999</v>
      </c>
      <c r="CD30" s="1">
        <f>IF(BU15="x","N/A",$B$8*($C$21*IF(BT15="x",BU15,BT15)+$C$22*IF(BU14="x",BU15,BU14)+$C$23*IF(BU16="x",BU15,BU16))+$B$9)</f>
        <v>-4.9620317716480002</v>
      </c>
      <c r="CG30" s="1" t="s">
        <v>7</v>
      </c>
      <c r="CH30" s="1">
        <f>IF(CB15="x","N/A",$B$8*($C$21*IF(CB14="x",CB15,CB14)+$C$22*IF(CA15="x",CB15,CA15)+$C$23*IF(CC15="x",CB15,CC15))+$B$9)</f>
        <v>-3.8716715629632006</v>
      </c>
      <c r="CI30" s="1">
        <f>IF(CB15="x","N/A",$B$8*($C$21*IF(CC15="x",CB15,CC15)+$C$22*IF(CB14="x",CB15,CB14)+$C$23*IF(CB16="x",CB15,CB16))+$B$9)</f>
        <v>-2.8669401423360004</v>
      </c>
      <c r="CJ30" s="1">
        <f>IF(CB15="x","N/A",$B$8*($C$21*IF(CB16="x",CB15,CB16)+$C$22*IF(CA15="x",CB15,CA15)+$C$23*IF(CC15="x",CB15,CC15))+$B$9)</f>
        <v>-3.8716715629632006</v>
      </c>
      <c r="CK30" s="1">
        <f>IF(CB15="x","N/A",$B$8*($C$21*IF(CA15="x",CB15,CA15)+$C$22*IF(CB14="x",CB15,CB14)+$C$23*IF(CB16="x",CB15,CB16))+$B$9)</f>
        <v>-4.966701678489601</v>
      </c>
      <c r="CN30" s="1" t="s">
        <v>7</v>
      </c>
      <c r="CO30" s="1">
        <f>IF(CI15="x","N/A",$B$8*($C$21*IF(CI14="x",CI15,CI14)+$C$22*IF(CH15="x",CI15,CH15)+$C$23*IF(CJ15="x",CI15,CJ15))+$B$9)</f>
        <v>-3.8722070186656001</v>
      </c>
      <c r="CP30" s="1">
        <f>IF(CI15="x","N/A",$B$8*($C$21*IF(CJ15="x",CI15,CJ15)+$C$22*IF(CI14="x",CI15,CI14)+$C$23*IF(CI16="x",CI15,CI16))+$B$9)</f>
        <v>-2.8670793464166402</v>
      </c>
      <c r="CQ30" s="1">
        <f>IF(CI15="x","N/A",$B$8*($C$21*IF(CI16="x",CI15,CI16)+$C$22*IF(CH15="x",CI15,CH15)+$C$23*IF(CJ15="x",CI15,CJ15))+$B$9)</f>
        <v>-3.8722070186656001</v>
      </c>
      <c r="CR30" s="1">
        <f>IF(CI15="x","N/A",$B$8*($C$21*IF(CH15="x",CI15,CH15)+$C$22*IF(CI14="x",CI15,CI14)+$C$23*IF(CI16="x",CI15,CI16))+$B$9)</f>
        <v>-4.9689359488921596</v>
      </c>
      <c r="CU30" s="1" t="s">
        <v>7</v>
      </c>
      <c r="CV30" s="1">
        <f>IF(CP15="x","N/A",$B$8*($C$21*IF(CP14="x",CP15,CP14)+$C$22*IF(CO15="x",CP15,CO15)+$C$23*IF(CQ15="x",CP15,CQ15))+$B$9)</f>
        <v>-3.8724516597863046</v>
      </c>
      <c r="CW30" s="1">
        <f>IF(CP15="x","N/A",$B$8*($C$21*IF(CQ15="x",CP15,CQ15)+$C$22*IF(CP14="x",CP15,CP14)+$C$23*IF(CP16="x",CP15,CP16))+$B$9)</f>
        <v>-2.8671402118425604</v>
      </c>
      <c r="CX30" s="1">
        <f>IF(CP15="x","N/A",$B$8*($C$21*IF(CP16="x",CP15,CP16)+$C$22*IF(CO15="x",CP15,CO15)+$C$23*IF(CQ15="x",CP15,CQ15))+$B$9)</f>
        <v>-3.8724516597863046</v>
      </c>
      <c r="CY30" s="1">
        <f>IF(CP15="x","N/A",$B$8*($C$21*IF(CO15="x",CP15,CO15)+$C$22*IF(CP14="x",CP15,CP14)+$C$23*IF(CP16="x",CP15,CP16))+$B$9)</f>
        <v>-4.9699969879480328</v>
      </c>
      <c r="DB30" s="1" t="s">
        <v>7</v>
      </c>
      <c r="DC30" s="1">
        <f>IF(CW15="x","N/A",$B$8*($C$21*IF(CW14="x",CW15,CW14)+$C$22*IF(CV15="x",CW15,CV15)+$C$23*IF(CX15="x",CW15,CX15))+$B$9)</f>
        <v>-3.8725632239937093</v>
      </c>
      <c r="DD30" s="1">
        <f>IF(CW15="x","N/A",$B$8*($C$21*IF(CX15="x",CW15,CX15)+$C$22*IF(CW14="x",CW15,CW14)+$C$23*IF(CW16="x",CW15,CW16))+$B$9)</f>
        <v>-2.867166824213248</v>
      </c>
      <c r="DE30" s="1">
        <f>IF(CW15="x","N/A",$B$8*($C$21*IF(CW16="x",CW15,CW16)+$C$22*IF(CV15="x",CW15,CV15)+$C$23*IF(CX15="x",CW15,CX15))+$B$9)</f>
        <v>-3.8725632239937093</v>
      </c>
      <c r="DF30" s="1">
        <f>IF(CW15="x","N/A",$B$8*($C$21*IF(CV15="x",CW15,CV15)+$C$22*IF(CW14="x",CW15,CW14)+$C$23*IF(CW16="x",CW15,CW16))+$B$9)</f>
        <v>-4.970497696681063</v>
      </c>
    </row>
    <row r="31" spans="1:111" x14ac:dyDescent="0.25">
      <c r="H31" s="1" t="s">
        <v>8</v>
      </c>
      <c r="I31" s="1" t="str">
        <f>IF(C16="x","N/A",$B$8*($C$21*IF(C15="x",C16,C15)+$C$22*IF(B16="x",C16,B16)+$C$23*IF(D16="x",C16,D16))+$B$9)</f>
        <v>N/A</v>
      </c>
      <c r="J31" s="1" t="str">
        <f>IF(C16="x","N/A",$B$8*($C$21*IF(D16="x",C16,D16)+$C$22*IF(C15="x",C16,C15)+$C$23*IF(C17="x",C16,C17))+$B$9)</f>
        <v>N/A</v>
      </c>
      <c r="K31" s="1" t="str">
        <f>IF(C16="x","N/A",$B$8*($C$21*IF(C17="x",C16,C17)+$C$22*IF(B16="x",C16,B16)+$C$23*IF(D16="x",C16,D16))+$B$9)</f>
        <v>N/A</v>
      </c>
      <c r="L31" s="1" t="str">
        <f>IF(C16="x","N/A",$B$8*($C$21*IF(B16="x",C16,B16)+$C$22*IF(C15="x",C16,C15)+$C$23*IF(C17="x",C16,C17))+$B$9)</f>
        <v>N/A</v>
      </c>
      <c r="O31" s="1" t="s">
        <v>8</v>
      </c>
      <c r="P31" s="1" t="str">
        <f>IF(J16="x","N/A",$B$8*($C$21*IF(J15="x",J16,J15)+$C$22*IF(I16="x",J16,I16)+$C$23*IF(K16="x",J16,K16))+$B$9)</f>
        <v>N/A</v>
      </c>
      <c r="Q31" s="1" t="str">
        <f>IF(J16="x","N/A",$B$8*($C$21*IF(K16="x",J16,K16)+$C$22*IF(J15="x",J16,J15)+$C$23*IF(J17="x",J16,J17))+$B$9)</f>
        <v>N/A</v>
      </c>
      <c r="R31" s="1" t="str">
        <f>IF(J16="x","N/A",$B$8*($C$21*IF(J17="x",J16,J17)+$C$22*IF(I16="x",J16,I16)+$C$23*IF(K16="x",J16,K16))+$B$9)</f>
        <v>N/A</v>
      </c>
      <c r="S31" s="1" t="str">
        <f>IF(J16="x","N/A",$B$8*($C$21*IF(I16="x",J16,I16)+$C$22*IF(J15="x",J16,J15)+$C$23*IF(J17="x",J16,J17))+$B$9)</f>
        <v>N/A</v>
      </c>
      <c r="V31" s="1" t="s">
        <v>8</v>
      </c>
      <c r="W31" s="1" t="str">
        <f>IF(Q16="x","N/A",$B$8*($C$21*IF(Q15="x",Q16,Q15)+$C$22*IF(P16="x",Q16,P16)+$C$23*IF(R16="x",Q16,R16))+$B$9)</f>
        <v>N/A</v>
      </c>
      <c r="X31" s="1" t="str">
        <f>IF(Q16="x","N/A",$B$8*($C$21*IF(R16="x",Q16,R16)+$C$22*IF(Q15="x",Q16,Q15)+$C$23*IF(Q17="x",Q16,Q17))+$B$9)</f>
        <v>N/A</v>
      </c>
      <c r="Y31" s="1" t="str">
        <f>IF(Q16="x","N/A",$B$8*($C$21*IF(Q17="x",Q16,Q17)+$C$22*IF(P16="x",Q16,P16)+$C$23*IF(R16="x",Q16,R16))+$B$9)</f>
        <v>N/A</v>
      </c>
      <c r="Z31" s="1" t="str">
        <f>IF(Q16="x","N/A",$B$8*($C$21*IF(P16="x",Q16,P16)+$C$22*IF(Q15="x",Q16,Q15)+$C$23*IF(Q17="x",Q16,Q17))+$B$9)</f>
        <v>N/A</v>
      </c>
      <c r="AC31" s="1" t="s">
        <v>8</v>
      </c>
      <c r="AD31" s="1" t="str">
        <f>IF(X16="x","N/A",$B$8*($C$21*IF(X15="x",X16,X15)+$C$22*IF(W16="x",X16,W16)+$C$23*IF(Y16="x",X16,Y16))+$B$9)</f>
        <v>N/A</v>
      </c>
      <c r="AE31" s="1" t="str">
        <f>IF(X16="x","N/A",$B$8*($C$21*IF(Y16="x",X16,Y16)+$C$22*IF(X15="x",X16,X15)+$C$23*IF(X17="x",X16,X17))+$B$9)</f>
        <v>N/A</v>
      </c>
      <c r="AF31" s="1" t="str">
        <f>IF(X16="x","N/A",$B$8*($C$21*IF(X17="x",X16,X17)+$C$22*IF(W16="x",X16,W16)+$C$23*IF(Y16="x",X16,Y16))+$B$9)</f>
        <v>N/A</v>
      </c>
      <c r="AG31" s="1" t="str">
        <f>IF(X16="x","N/A",$B$8*($C$21*IF(W16="x",X16,W16)+$C$22*IF(X15="x",X16,X15)+$C$23*IF(X17="x",X16,X17))+$B$9)</f>
        <v>N/A</v>
      </c>
      <c r="AJ31" s="1" t="s">
        <v>8</v>
      </c>
      <c r="AK31" s="1" t="str">
        <f>IF(AE16="x","N/A",$B$8*($C$21*IF(AE15="x",AE16,AE15)+$C$22*IF(AD16="x",AE16,AD16)+$C$23*IF(AF16="x",AE16,AF16))+$B$9)</f>
        <v>N/A</v>
      </c>
      <c r="AL31" s="1" t="str">
        <f>IF(AE16="x","N/A",$B$8*($C$21*IF(AF16="x",AE16,AF16)+$C$22*IF(AE15="x",AE16,AE15)+$C$23*IF(AE17="x",AE16,AE17))+$B$9)</f>
        <v>N/A</v>
      </c>
      <c r="AM31" s="1" t="str">
        <f>IF(AE16="x","N/A",$B$8*($C$21*IF(AE17="x",AE16,AE17)+$C$22*IF(AD16="x",AE16,AD16)+$C$23*IF(AF16="x",AE16,AF16))+$B$9)</f>
        <v>N/A</v>
      </c>
      <c r="AN31" s="1" t="str">
        <f>IF(AE16="x","N/A",$B$8*($C$21*IF(AD16="x",AE16,AD16)+$C$22*IF(AE15="x",AE16,AE15)+$C$23*IF(AE17="x",AE16,AE17))+$B$9)</f>
        <v>N/A</v>
      </c>
      <c r="AQ31" s="1" t="s">
        <v>8</v>
      </c>
      <c r="AR31" s="1" t="str">
        <f>IF(AL16="x","N/A",$B$8*($C$21*IF(AL15="x",AL16,AL15)+$C$22*IF(AK16="x",AL16,AK16)+$C$23*IF(AM16="x",AL16,AM16))+$B$9)</f>
        <v>N/A</v>
      </c>
      <c r="AS31" s="1" t="str">
        <f>IF(AL16="x","N/A",$B$8*($C$21*IF(AM16="x",AL16,AM16)+$C$22*IF(AL15="x",AL16,AL15)+$C$23*IF(AL17="x",AL16,AL17))+$B$9)</f>
        <v>N/A</v>
      </c>
      <c r="AT31" s="1" t="str">
        <f>IF(AL16="x","N/A",$B$8*($C$21*IF(AL17="x",AL16,AL17)+$C$22*IF(AK16="x",AL16,AK16)+$C$23*IF(AM16="x",AL16,AM16))+$B$9)</f>
        <v>N/A</v>
      </c>
      <c r="AU31" s="1" t="str">
        <f>IF(AL16="x","N/A",$B$8*($C$21*IF(AK16="x",AL16,AK16)+$C$22*IF(AL15="x",AL16,AL15)+$C$23*IF(AL17="x",AL16,AL17))+$B$9)</f>
        <v>N/A</v>
      </c>
      <c r="AX31" s="1" t="s">
        <v>8</v>
      </c>
      <c r="AY31" s="1" t="str">
        <f>IF(AS16="x","N/A",$B$8*($C$21*IF(AS15="x",AS16,AS15)+$C$22*IF(AR16="x",AS16,AR16)+$C$23*IF(AT16="x",AS16,AT16))+$B$9)</f>
        <v>N/A</v>
      </c>
      <c r="AZ31" s="1" t="str">
        <f>IF(AS16="x","N/A",$B$8*($C$21*IF(AT16="x",AS16,AT16)+$C$22*IF(AS15="x",AS16,AS15)+$C$23*IF(AS17="x",AS16,AS17))+$B$9)</f>
        <v>N/A</v>
      </c>
      <c r="BA31" s="1" t="str">
        <f>IF(AS16="x","N/A",$B$8*($C$21*IF(AS17="x",AS16,AS17)+$C$22*IF(AR16="x",AS16,AR16)+$C$23*IF(AT16="x",AS16,AT16))+$B$9)</f>
        <v>N/A</v>
      </c>
      <c r="BB31" s="1" t="str">
        <f>IF(AS16="x","N/A",$B$8*($C$21*IF(AR16="x",AS16,AR16)+$C$22*IF(AS15="x",AS16,AS15)+$C$23*IF(AS17="x",AS16,AS17))+$B$9)</f>
        <v>N/A</v>
      </c>
      <c r="BE31" s="1" t="s">
        <v>8</v>
      </c>
      <c r="BF31" s="1" t="str">
        <f>IF(AZ16="x","N/A",$B$8*($C$21*IF(AZ15="x",AZ16,AZ15)+$C$22*IF(AY16="x",AZ16,AY16)+$C$23*IF(BA16="x",AZ16,BA16))+$B$9)</f>
        <v>N/A</v>
      </c>
      <c r="BG31" s="1" t="str">
        <f>IF(AZ16="x","N/A",$B$8*($C$21*IF(BA16="x",AZ16,BA16)+$C$22*IF(AZ15="x",AZ16,AZ15)+$C$23*IF(AZ17="x",AZ16,AZ17))+$B$9)</f>
        <v>N/A</v>
      </c>
      <c r="BH31" s="1" t="str">
        <f>IF(AZ16="x","N/A",$B$8*($C$21*IF(AZ17="x",AZ16,AZ17)+$C$22*IF(AY16="x",AZ16,AY16)+$C$23*IF(BA16="x",AZ16,BA16))+$B$9)</f>
        <v>N/A</v>
      </c>
      <c r="BI31" s="1" t="str">
        <f>IF(AZ16="x","N/A",$B$8*($C$21*IF(AY16="x",AZ16,AY16)+$C$22*IF(AZ15="x",AZ16,AZ15)+$C$23*IF(AZ17="x",AZ16,AZ17))+$B$9)</f>
        <v>N/A</v>
      </c>
      <c r="BL31" s="1" t="s">
        <v>8</v>
      </c>
      <c r="BM31" s="1" t="str">
        <f>IF(BG16="x","N/A",$B$8*($C$21*IF(BG15="x",BG16,BG15)+$C$22*IF(BF16="x",BG16,BF16)+$C$23*IF(BH16="x",BG16,BH16))+$B$9)</f>
        <v>N/A</v>
      </c>
      <c r="BN31" s="1" t="str">
        <f>IF(BG16="x","N/A",$B$8*($C$21*IF(BH16="x",BG16,BH16)+$C$22*IF(BG15="x",BG16,BG15)+$C$23*IF(BG17="x",BG16,BG17))+$B$9)</f>
        <v>N/A</v>
      </c>
      <c r="BO31" s="1" t="str">
        <f>IF(BG16="x","N/A",$B$8*($C$21*IF(BG17="x",BG16,BG17)+$C$22*IF(BF16="x",BG16,BF16)+$C$23*IF(BH16="x",BG16,BH16))+$B$9)</f>
        <v>N/A</v>
      </c>
      <c r="BP31" s="1" t="str">
        <f>IF(BG16="x","N/A",$B$8*($C$21*IF(BF16="x",BG16,BF16)+$C$22*IF(BG15="x",BG16,BG15)+$C$23*IF(BG17="x",BG16,BG17))+$B$9)</f>
        <v>N/A</v>
      </c>
      <c r="BS31" s="1" t="s">
        <v>8</v>
      </c>
      <c r="BT31" s="1" t="str">
        <f>IF(BN16="x","N/A",$B$8*($C$21*IF(BN15="x",BN16,BN15)+$C$22*IF(BM16="x",BN16,BM16)+$C$23*IF(BO16="x",BN16,BO16))+$B$9)</f>
        <v>N/A</v>
      </c>
      <c r="BU31" s="1" t="str">
        <f>IF(BN16="x","N/A",$B$8*($C$21*IF(BO16="x",BN16,BO16)+$C$22*IF(BN15="x",BN16,BN15)+$C$23*IF(BN17="x",BN16,BN17))+$B$9)</f>
        <v>N/A</v>
      </c>
      <c r="BV31" s="1" t="str">
        <f>IF(BN16="x","N/A",$B$8*($C$21*IF(BN17="x",BN16,BN17)+$C$22*IF(BM16="x",BN16,BM16)+$C$23*IF(BO16="x",BN16,BO16))+$B$9)</f>
        <v>N/A</v>
      </c>
      <c r="BW31" s="1" t="str">
        <f>IF(BN16="x","N/A",$B$8*($C$21*IF(BM16="x",BN16,BM16)+$C$22*IF(BN15="x",BN16,BN15)+$C$23*IF(BN17="x",BN16,BN17))+$B$9)</f>
        <v>N/A</v>
      </c>
      <c r="BZ31" s="1" t="s">
        <v>8</v>
      </c>
      <c r="CA31" s="1" t="str">
        <f>IF(BU16="x","N/A",$B$8*($C$21*IF(BU15="x",BU16,BU15)+$C$22*IF(BT16="x",BU16,BT16)+$C$23*IF(BV16="x",BU16,BV16))+$B$9)</f>
        <v>N/A</v>
      </c>
      <c r="CB31" s="1" t="str">
        <f>IF(BU16="x","N/A",$B$8*($C$21*IF(BV16="x",BU16,BV16)+$C$22*IF(BU15="x",BU16,BU15)+$C$23*IF(BU17="x",BU16,BU17))+$B$9)</f>
        <v>N/A</v>
      </c>
      <c r="CC31" s="1" t="str">
        <f>IF(BU16="x","N/A",$B$8*($C$21*IF(BU17="x",BU16,BU17)+$C$22*IF(BT16="x",BU16,BT16)+$C$23*IF(BV16="x",BU16,BV16))+$B$9)</f>
        <v>N/A</v>
      </c>
      <c r="CD31" s="1" t="str">
        <f>IF(BU16="x","N/A",$B$8*($C$21*IF(BT16="x",BU16,BT16)+$C$22*IF(BU15="x",BU16,BU15)+$C$23*IF(BU17="x",BU16,BU17))+$B$9)</f>
        <v>N/A</v>
      </c>
      <c r="CG31" s="1" t="s">
        <v>8</v>
      </c>
      <c r="CH31" s="1" t="str">
        <f>IF(CB16="x","N/A",$B$8*($C$21*IF(CB15="x",CB16,CB15)+$C$22*IF(CA16="x",CB16,CA16)+$C$23*IF(CC16="x",CB16,CC16))+$B$9)</f>
        <v>N/A</v>
      </c>
      <c r="CI31" s="1" t="str">
        <f>IF(CB16="x","N/A",$B$8*($C$21*IF(CC16="x",CB16,CC16)+$C$22*IF(CB15="x",CB16,CB15)+$C$23*IF(CB17="x",CB16,CB17))+$B$9)</f>
        <v>N/A</v>
      </c>
      <c r="CJ31" s="1" t="str">
        <f>IF(CB16="x","N/A",$B$8*($C$21*IF(CB17="x",CB16,CB17)+$C$22*IF(CA16="x",CB16,CA16)+$C$23*IF(CC16="x",CB16,CC16))+$B$9)</f>
        <v>N/A</v>
      </c>
      <c r="CK31" s="1" t="str">
        <f>IF(CB16="x","N/A",$B$8*($C$21*IF(CA16="x",CB16,CA16)+$C$22*IF(CB15="x",CB16,CB15)+$C$23*IF(CB17="x",CB16,CB17))+$B$9)</f>
        <v>N/A</v>
      </c>
      <c r="CN31" s="1" t="s">
        <v>8</v>
      </c>
      <c r="CO31" s="1" t="str">
        <f>IF(CI16="x","N/A",$B$8*($C$21*IF(CI15="x",CI16,CI15)+$C$22*IF(CH16="x",CI16,CH16)+$C$23*IF(CJ16="x",CI16,CJ16))+$B$9)</f>
        <v>N/A</v>
      </c>
      <c r="CP31" s="1" t="str">
        <f>IF(CI16="x","N/A",$B$8*($C$21*IF(CJ16="x",CI16,CJ16)+$C$22*IF(CI15="x",CI16,CI15)+$C$23*IF(CI17="x",CI16,CI17))+$B$9)</f>
        <v>N/A</v>
      </c>
      <c r="CQ31" s="1" t="str">
        <f>IF(CI16="x","N/A",$B$8*($C$21*IF(CI17="x",CI16,CI17)+$C$22*IF(CH16="x",CI16,CH16)+$C$23*IF(CJ16="x",CI16,CJ16))+$B$9)</f>
        <v>N/A</v>
      </c>
      <c r="CR31" s="1" t="str">
        <f>IF(CI16="x","N/A",$B$8*($C$21*IF(CH16="x",CI16,CH16)+$C$22*IF(CI15="x",CI16,CI15)+$C$23*IF(CI17="x",CI16,CI17))+$B$9)</f>
        <v>N/A</v>
      </c>
      <c r="CU31" s="1" t="s">
        <v>8</v>
      </c>
      <c r="CV31" s="1" t="str">
        <f>IF(CP16="x","N/A",$B$8*($C$21*IF(CP15="x",CP16,CP15)+$C$22*IF(CO16="x",CP16,CO16)+$C$23*IF(CQ16="x",CP16,CQ16))+$B$9)</f>
        <v>N/A</v>
      </c>
      <c r="CW31" s="1" t="str">
        <f>IF(CP16="x","N/A",$B$8*($C$21*IF(CQ16="x",CP16,CQ16)+$C$22*IF(CP15="x",CP16,CP15)+$C$23*IF(CP17="x",CP16,CP17))+$B$9)</f>
        <v>N/A</v>
      </c>
      <c r="CX31" s="1" t="str">
        <f>IF(CP16="x","N/A",$B$8*($C$21*IF(CP17="x",CP16,CP17)+$C$22*IF(CO16="x",CP16,CO16)+$C$23*IF(CQ16="x",CP16,CQ16))+$B$9)</f>
        <v>N/A</v>
      </c>
      <c r="CY31" s="1" t="str">
        <f>IF(CP16="x","N/A",$B$8*($C$21*IF(CO16="x",CP16,CO16)+$C$22*IF(CP15="x",CP16,CP15)+$C$23*IF(CP17="x",CP16,CP17))+$B$9)</f>
        <v>N/A</v>
      </c>
      <c r="DB31" s="1" t="s">
        <v>8</v>
      </c>
      <c r="DC31" s="1" t="str">
        <f>IF(CW16="x","N/A",$B$8*($C$21*IF(CW15="x",CW16,CW15)+$C$22*IF(CV16="x",CW16,CV16)+$C$23*IF(CX16="x",CW16,CX16))+$B$9)</f>
        <v>N/A</v>
      </c>
      <c r="DD31" s="1" t="str">
        <f>IF(CW16="x","N/A",$B$8*($C$21*IF(CX16="x",CW16,CX16)+$C$22*IF(CW15="x",CW16,CW15)+$C$23*IF(CW17="x",CW16,CW17))+$B$9)</f>
        <v>N/A</v>
      </c>
      <c r="DE31" s="1" t="str">
        <f>IF(CW16="x","N/A",$B$8*($C$21*IF(CW17="x",CW16,CW17)+$C$22*IF(CV16="x",CW16,CV16)+$C$23*IF(CX16="x",CW16,CX16))+$B$9)</f>
        <v>N/A</v>
      </c>
      <c r="DF31" s="1" t="str">
        <f>IF(CW16="x","N/A",$B$8*($C$21*IF(CV16="x",CW16,CV16)+$C$22*IF(CW15="x",CW16,CW15)+$C$23*IF(CW17="x",CW16,CW17))+$B$9)</f>
        <v>N/A</v>
      </c>
    </row>
    <row r="32" spans="1:111" x14ac:dyDescent="0.25">
      <c r="H32" s="8" t="s">
        <v>17</v>
      </c>
      <c r="I32" s="1">
        <f>IF(C17="x","N/A",$B$8*($C$21*IF(C16="x",C17,C16)+$C$22*IF(B17="x",C17,B17)+$C$23*IF(D17="x",C17,D17))+$B$9)</f>
        <v>-0.99</v>
      </c>
      <c r="J32" s="1">
        <f>IF(C17="x","N/A",$B$8*($C$21*IF(D17="x",C17,D17)+$C$22*IF(C16="x",C17,C16)+$C$23*IF(C18="x",C17,C18))+$B$9)</f>
        <v>-0.99</v>
      </c>
      <c r="K32" s="1">
        <f>IF(C17="x","N/A",$B$8*($C$21*IF(C18="x",C17,C18)+$C$22*IF(B17="x",C17,B17)+$C$23*IF(D17="x",C17,D17))+$B$9)</f>
        <v>-0.99</v>
      </c>
      <c r="L32" s="1">
        <f>IF(C17="x","N/A",$B$8*($C$21*IF(B17="x",C17,B17)+$C$22*IF(C16="x",C17,C16)+$C$23*IF(C18="x",C17,C18))+$B$9)</f>
        <v>-0.99</v>
      </c>
      <c r="O32" s="8" t="s">
        <v>17</v>
      </c>
      <c r="P32" s="1">
        <f>IF(J17="x","N/A",$B$8*($C$21*IF(J16="x",J17,J16)+$C$22*IF(I17="x",J17,I17)+$C$23*IF(K17="x",J17,K17))+$B$9)</f>
        <v>-1.98</v>
      </c>
      <c r="Q32" s="1">
        <f>IF(J17="x","N/A",$B$8*($C$21*IF(K17="x",J17,K17)+$C$22*IF(J16="x",J17,J16)+$C$23*IF(J18="x",J17,J18))+$B$9)</f>
        <v>-1.98</v>
      </c>
      <c r="R32" s="1">
        <f>IF(J17="x","N/A",$B$8*($C$21*IF(J18="x",J17,J18)+$C$22*IF(I17="x",J17,I17)+$C$23*IF(K17="x",J17,K17))+$B$9)</f>
        <v>-1.98</v>
      </c>
      <c r="S32" s="1">
        <f>IF(J17="x","N/A",$B$8*($C$21*IF(I17="x",J17,I17)+$C$22*IF(J16="x",J17,J16)+$C$23*IF(J18="x",J17,J18))+$B$9)</f>
        <v>-1.98</v>
      </c>
      <c r="V32" s="8" t="s">
        <v>17</v>
      </c>
      <c r="W32" s="1">
        <f>IF(Q17="x","N/A",$B$8*($C$21*IF(Q16="x",Q17,Q16)+$C$22*IF(P17="x",Q17,P17)+$C$23*IF(R17="x",Q17,R17))+$B$9)</f>
        <v>-2.9699999999999998</v>
      </c>
      <c r="X32" s="1">
        <f>IF(Q17="x","N/A",$B$8*($C$21*IF(R17="x",Q17,R17)+$C$22*IF(Q16="x",Q17,Q16)+$C$23*IF(Q18="x",Q17,Q18))+$B$9)</f>
        <v>-2.9699999999999998</v>
      </c>
      <c r="Y32" s="1">
        <f>IF(Q17="x","N/A",$B$8*($C$21*IF(Q18="x",Q17,Q18)+$C$22*IF(P17="x",Q17,P17)+$C$23*IF(R17="x",Q17,R17))+$B$9)</f>
        <v>-2.9699999999999998</v>
      </c>
      <c r="Z32" s="1">
        <f>IF(Q17="x","N/A",$B$8*($C$21*IF(P17="x",Q17,P17)+$C$22*IF(Q16="x",Q17,Q16)+$C$23*IF(Q18="x",Q17,Q18))+$B$9)</f>
        <v>-2.9699999999999998</v>
      </c>
      <c r="AC32" s="8" t="s">
        <v>17</v>
      </c>
      <c r="AD32" s="1">
        <f>IF(X17="x","N/A",$B$8*($C$21*IF(X16="x",X17,X16)+$C$22*IF(W17="x",X17,W17)+$C$23*IF(Y17="x",X17,Y17))+$B$9)</f>
        <v>-3.96</v>
      </c>
      <c r="AE32" s="1">
        <f>IF(X17="x","N/A",$B$8*($C$21*IF(Y17="x",X17,Y17)+$C$22*IF(X16="x",X17,X16)+$C$23*IF(X18="x",X17,X18))+$B$9)</f>
        <v>-3.96</v>
      </c>
      <c r="AF32" s="1">
        <f>IF(X17="x","N/A",$B$8*($C$21*IF(X18="x",X17,X18)+$C$22*IF(W17="x",X17,W17)+$C$23*IF(Y17="x",X17,Y17))+$B$9)</f>
        <v>-3.96</v>
      </c>
      <c r="AG32" s="1">
        <f>IF(X17="x","N/A",$B$8*($C$21*IF(W17="x",X17,W17)+$C$22*IF(X16="x",X17,X16)+$C$23*IF(X18="x",X17,X18))+$B$9)</f>
        <v>-3.96</v>
      </c>
      <c r="AJ32" s="8" t="s">
        <v>17</v>
      </c>
      <c r="AK32" s="1">
        <f>IF(AE17="x","N/A",$B$8*($C$21*IF(AE16="x",AE17,AE16)+$C$22*IF(AD17="x",AE17,AD17)+$C$23*IF(AF17="x",AE17,AF17))+$B$9)</f>
        <v>-4.95</v>
      </c>
      <c r="AL32" s="1">
        <f>IF(AE17="x","N/A",$B$8*($C$21*IF(AF17="x",AE17,AF17)+$C$22*IF(AE16="x",AE17,AE16)+$C$23*IF(AE18="x",AE17,AE18))+$B$9)</f>
        <v>-4.95</v>
      </c>
      <c r="AM32" s="1">
        <f>IF(AE17="x","N/A",$B$8*($C$21*IF(AE18="x",AE17,AE18)+$C$22*IF(AD17="x",AE17,AD17)+$C$23*IF(AF17="x",AE17,AF17))+$B$9)</f>
        <v>-4.95</v>
      </c>
      <c r="AN32" s="1">
        <f>IF(AE17="x","N/A",$B$8*($C$21*IF(AD17="x",AE17,AD17)+$C$22*IF(AE16="x",AE17,AE16)+$C$23*IF(AE18="x",AE17,AE18))+$B$9)</f>
        <v>-4.95</v>
      </c>
      <c r="AQ32" s="8" t="s">
        <v>17</v>
      </c>
      <c r="AR32" s="1">
        <f>IF(AL17="x","N/A",$B$8*($C$21*IF(AL16="x",AL17,AL16)+$C$22*IF(AK17="x",AL17,AK17)+$C$23*IF(AM17="x",AL17,AM17))+$B$9)</f>
        <v>-5.94</v>
      </c>
      <c r="AS32" s="1">
        <f>IF(AL17="x","N/A",$B$8*($C$21*IF(AM17="x",AL17,AM17)+$C$22*IF(AL16="x",AL17,AL16)+$C$23*IF(AL18="x",AL17,AL18))+$B$9)</f>
        <v>-5.94</v>
      </c>
      <c r="AT32" s="1">
        <f>IF(AL17="x","N/A",$B$8*($C$21*IF(AL18="x",AL17,AL18)+$C$22*IF(AK17="x",AL17,AK17)+$C$23*IF(AM17="x",AL17,AM17))+$B$9)</f>
        <v>-5.94</v>
      </c>
      <c r="AU32" s="1">
        <f>IF(AL17="x","N/A",$B$8*($C$21*IF(AK17="x",AL17,AK17)+$C$22*IF(AL16="x",AL17,AL16)+$C$23*IF(AL18="x",AL17,AL18))+$B$9)</f>
        <v>-5.94</v>
      </c>
      <c r="AX32" s="8" t="s">
        <v>17</v>
      </c>
      <c r="AY32" s="1">
        <f>IF(AS17="x","N/A",$B$8*($C$21*IF(AS16="x",AS17,AS16)+$C$22*IF(AR17="x",AS17,AR17)+$C$23*IF(AT17="x",AS17,AT17))+$B$9)</f>
        <v>-6.9037856000000009</v>
      </c>
      <c r="AZ32" s="1">
        <f>IF(AS17="x","N/A",$B$8*($C$21*IF(AT17="x",AS17,AT17)+$C$22*IF(AS16="x",AS17,AS16)+$C$23*IF(AS18="x",AS17,AS18))+$B$9)</f>
        <v>-6.9300000000000015</v>
      </c>
      <c r="BA32" s="1">
        <f>IF(AS17="x","N/A",$B$8*($C$21*IF(AS18="x",AS17,AS18)+$C$22*IF(AR17="x",AS17,AR17)+$C$23*IF(AT17="x",AS17,AT17))+$B$9)</f>
        <v>-6.9037856000000009</v>
      </c>
      <c r="BB32" s="1">
        <f>IF(AS17="x","N/A",$B$8*($C$21*IF(AR17="x",AS17,AR17)+$C$22*IF(AS16="x",AS17,AS16)+$C$23*IF(AS18="x",AS17,AS18))+$B$9)</f>
        <v>-6.7202848000000008</v>
      </c>
      <c r="BE32" s="8" t="s">
        <v>17</v>
      </c>
      <c r="BF32" s="1">
        <f>IF(AZ17="x","N/A",$B$8*($C$21*IF(AZ16="x",AZ17,AZ16)+$C$22*IF(AY17="x",AZ17,AY17)+$C$23*IF(BA17="x",AZ17,BA17))+$B$9)</f>
        <v>-7.6764682240000024</v>
      </c>
      <c r="BG32" s="1">
        <f>IF(AZ17="x","N/A",$B$8*($C$21*IF(BA17="x",AZ17,BA17)+$C$22*IF(AZ16="x",AZ17,AZ16)+$C$23*IF(AZ18="x",AZ17,AZ18))+$B$9)</f>
        <v>-7.8780569600000012</v>
      </c>
      <c r="BH32" s="1">
        <f>IF(AZ17="x","N/A",$B$8*($C$21*IF(AZ18="x",AZ17,AZ18)+$C$22*IF(AY17="x",AZ17,AY17)+$C$23*IF(BA17="x",AZ17,BA17))+$B$9)</f>
        <v>-7.6764682240000024</v>
      </c>
      <c r="BI32" s="1">
        <f>IF(AZ17="x","N/A",$B$8*($C$21*IF(AY17="x",AZ17,AY17)+$C$22*IF(AZ16="x",AZ17,AZ16)+$C$23*IF(AZ18="x",AZ17,AZ18))+$B$9)</f>
        <v>-7.271980032000001</v>
      </c>
      <c r="BL32" s="8" t="s">
        <v>17</v>
      </c>
      <c r="BM32" s="1">
        <f>IF(BG17="x","N/A",$B$8*($C$21*IF(BG16="x",BG17,BG16)+$C$22*IF(BF17="x",BG17,BF17)+$C$23*IF(BH17="x",BG17,BH17))+$B$9)</f>
        <v>-8.2308635392000014</v>
      </c>
      <c r="BN32" s="1">
        <f>IF(BG17="x","N/A",$B$8*($C$21*IF(BH17="x",BG17,BH17)+$C$22*IF(BG16="x",BG17,BG16)+$C$23*IF(BG18="x",BG17,BG18))+$B$9)</f>
        <v>-8.6461782784000025</v>
      </c>
      <c r="BO32" s="1">
        <f>IF(BG17="x","N/A",$B$8*($C$21*IF(BG18="x",BG17,BG18)+$C$22*IF(BF17="x",BG17,BF17)+$C$23*IF(BH17="x",BG17,BH17))+$B$9)</f>
        <v>-8.2308635392000014</v>
      </c>
      <c r="BP32" s="1">
        <f>IF(BG17="x","N/A",$B$8*($C$21*IF(BF17="x",BG17,BF17)+$C$22*IF(BG16="x",BG17,BG16)+$C$23*IF(BG18="x",BG17,BG18))+$B$9)</f>
        <v>-7.6288498432000011</v>
      </c>
      <c r="BS32" s="8" t="s">
        <v>17</v>
      </c>
      <c r="BT32" s="1">
        <f>IF(BN17="x","N/A",$B$8*($C$21*IF(BN16="x",BN17,BN16)+$C$22*IF(BM17="x",BN17,BM17)+$C$23*IF(BO17="x",BN17,BO17))+$B$9)</f>
        <v>-8.595204454400001</v>
      </c>
      <c r="BU32" s="1">
        <f>IF(BN17="x","N/A",$B$8*($C$21*IF(BO17="x",BN17,BO17)+$C$22*IF(BN16="x",BN17,BN16)+$C$23*IF(BN18="x",BN17,BN18))+$B$9)</f>
        <v>-9.2021936435200011</v>
      </c>
      <c r="BV32" s="1">
        <f>IF(BN17="x","N/A",$B$8*($C$21*IF(BN18="x",BN17,BN18)+$C$22*IF(BM17="x",BN17,BM17)+$C$23*IF(BO17="x",BN17,BO17))+$B$9)</f>
        <v>-8.595204454400001</v>
      </c>
      <c r="BW32" s="1">
        <f>IF(BN17="x","N/A",$B$8*($C$21*IF(BM17="x",BN17,BM17)+$C$22*IF(BN16="x",BN17,BN16)+$C$23*IF(BN18="x",BN17,BN18))+$B$9)</f>
        <v>-7.8463429324800016</v>
      </c>
      <c r="BZ32" s="8" t="s">
        <v>17</v>
      </c>
      <c r="CA32" s="1">
        <f>IF(BU17="x","N/A",$B$8*($C$21*IF(BU16="x",BU17,BU16)+$C$22*IF(BT17="x",BU17,BT17)+$C$23*IF(BV17="x",BU17,BV17))+$B$9)</f>
        <v>-8.8202588252160012</v>
      </c>
      <c r="CB32" s="1">
        <f>IF(BU17="x","N/A",$B$8*($C$21*IF(BV17="x",BU17,BV17)+$C$22*IF(BU16="x",BU17,BU16)+$C$23*IF(BU18="x",BU17,BU18))+$B$9)</f>
        <v>-9.5710172211200035</v>
      </c>
      <c r="CC32" s="1">
        <f>IF(BU17="x","N/A",$B$8*($C$21*IF(BU18="x",BU17,BU18)+$C$22*IF(BT17="x",BU17,BT17)+$C$23*IF(BV17="x",BU17,BV17))+$B$9)</f>
        <v>-8.8202588252160012</v>
      </c>
      <c r="CD32" s="1">
        <f>IF(BU17="x","N/A",$B$8*($C$21*IF(BT17="x",BU17,BT17)+$C$22*IF(BU16="x",BU17,BU16)+$C$23*IF(BU18="x",BU17,BU18))+$B$9)</f>
        <v>-7.9729957857280027</v>
      </c>
      <c r="CG32" s="8" t="s">
        <v>17</v>
      </c>
      <c r="CH32" s="1">
        <f>IF(CB17="x","N/A",$B$8*($C$21*IF(CB16="x",CB17,CB16)+$C$22*IF(CA17="x",CB17,CA17)+$C$23*IF(CC17="x",CB17,CC17))+$B$9)</f>
        <v>-8.9528528314368039</v>
      </c>
      <c r="CI32" s="1">
        <f>IF(CB17="x","N/A",$B$8*($C$21*IF(CC17="x",CB17,CC17)+$C$22*IF(CB16="x",CB17,CB16)+$C$23*IF(CB18="x",CB17,CB18))+$B$9)</f>
        <v>-9.8006083608576038</v>
      </c>
      <c r="CJ32" s="1">
        <f>IF(CB17="x","N/A",$B$8*($C$21*IF(CB18="x",CB17,CB18)+$C$22*IF(CA17="x",CB17,CA17)+$C$23*IF(CC17="x",CB17,CC17))+$B$9)</f>
        <v>-8.9528528314368039</v>
      </c>
      <c r="CK32" s="1">
        <f>IF(CB17="x","N/A",$B$8*($C$21*IF(CA17="x",CB17,CA17)+$C$22*IF(CB16="x",CB17,CB16)+$C$23*IF(CB18="x",CB17,CB18))+$B$9)</f>
        <v>-8.0442395762688008</v>
      </c>
      <c r="CN32" s="8" t="s">
        <v>17</v>
      </c>
      <c r="CO32" s="1">
        <f>IF(CI17="x","N/A",$B$8*($C$21*IF(CI16="x",CI17,CI16)+$C$22*IF(CH17="x",CI17,CH17)+$C$23*IF(CJ17="x",CI17,CJ17))+$B$9)</f>
        <v>-9.0281792657408015</v>
      </c>
      <c r="CP32" s="1">
        <f>IF(CI17="x","N/A",$B$8*($C$21*IF(CJ17="x",CI17,CJ17)+$C$22*IF(CI16="x",CI17,CI16)+$C$23*IF(CI18="x",CI17,CI18))+$B$9)</f>
        <v>-9.9367670588620847</v>
      </c>
      <c r="CQ32" s="1">
        <f>IF(CI17="x","N/A",$B$8*($C$21*IF(CI18="x",CI17,CI18)+$C$22*IF(CH17="x",CI17,CH17)+$C$23*IF(CJ17="x",CI17,CJ17))+$B$9)</f>
        <v>-9.0281792657408015</v>
      </c>
      <c r="CR32" s="1">
        <f>IF(CI17="x","N/A",$B$8*($C$21*IF(CH17="x",CI17,CH17)+$C$22*IF(CI16="x",CI17,CI16)+$C$23*IF(CI18="x",CI17,CI18))+$B$9)</f>
        <v>-8.0832296094515215</v>
      </c>
      <c r="CU32" s="8" t="s">
        <v>17</v>
      </c>
      <c r="CV32" s="1">
        <f>IF(CP17="x","N/A",$B$8*($C$21*IF(CP16="x",CP17,CP16)+$C$22*IF(CO17="x",CP17,CO17)+$C$23*IF(CQ17="x",CP17,CQ17))+$B$9)</f>
        <v>-9.0697526347202579</v>
      </c>
      <c r="CW32" s="1">
        <f>IF(CP17="x","N/A",$B$8*($C$21*IF(CQ17="x",CP17,CQ17)+$C$22*IF(CP16="x",CP17,CP16)+$C$23*IF(CP18="x",CP17,CP18))+$B$9)</f>
        <v>-10.014543079424001</v>
      </c>
      <c r="CX32" s="1">
        <f>IF(CP17="x","N/A",$B$8*($C$21*IF(CP18="x",CP17,CP18)+$C$22*IF(CO17="x",CP17,CO17)+$C$23*IF(CQ17="x",CP17,CQ17))+$B$9)</f>
        <v>-9.0697526347202579</v>
      </c>
      <c r="CY32" s="1">
        <f>IF(CP17="x","N/A",$B$8*($C$21*IF(CO17="x",CP17,CO17)+$C$22*IF(CP16="x",CP17,CP16)+$C$23*IF(CP18="x",CP17,CP18))+$B$9)</f>
        <v>-8.1041003416289286</v>
      </c>
      <c r="DB32" s="8" t="s">
        <v>17</v>
      </c>
      <c r="DC32" s="1">
        <f>IF(CW17="x","N/A",$B$8*($C$21*IF(CW16="x",CW17,CW16)+$C$22*IF(CV17="x",CW17,CV17)+$C$23*IF(CX17="x",CW17,CX17))+$B$9)</f>
        <v>-9.0921673080782863</v>
      </c>
      <c r="DD32" s="1">
        <f>IF(CW17="x","N/A",$B$8*($C$21*IF(CX17="x",CW17,CX17)+$C$22*IF(CW16="x",CW17,CW16)+$C$23*IF(CW18="x",CW17,CW18))+$B$9)</f>
        <v>-10.0576664498815</v>
      </c>
      <c r="DE32" s="1">
        <f>IF(CW17="x","N/A",$B$8*($C$21*IF(CW18="x",CW17,CW18)+$C$22*IF(CV17="x",CW17,CV17)+$C$23*IF(CX17="x",CW17,CX17))+$B$9)</f>
        <v>-9.0921673080782863</v>
      </c>
      <c r="DF32" s="1">
        <f>IF(CW17="x","N/A",$B$8*($C$21*IF(CV17="x",CW17,CV17)+$C$22*IF(CW16="x",CW17,CW16)+$C$23*IF(CW18="x",CW17,CW18))+$B$9)</f>
        <v>-8.1150699649712141</v>
      </c>
    </row>
    <row r="33" spans="8:110" x14ac:dyDescent="0.25">
      <c r="H33" s="8" t="s">
        <v>18</v>
      </c>
      <c r="I33" s="1" t="str">
        <f>IF(C18="x","N/A",$B$8*($C$21*IF(C17="x",C18,C17)+$C$22*IF(B18="x",C18,B18)+$C$23*IF(D18="x",C18,D18))+$B$9)</f>
        <v>N/A</v>
      </c>
      <c r="J33" s="1" t="str">
        <f>IF(C18="x","N/A",$B$8*($C$21*IF(D18="x",C18,D18)+$C$22*IF(C17="x",C18,C17)+$C$23*IF(C19="x",C18,C19))+$B$9)</f>
        <v>N/A</v>
      </c>
      <c r="K33" s="1" t="str">
        <f>IF(C18="x","N/A",$B$8*($C$21*IF(C19="x",C18,C19)+$C$22*IF(B18="x",C18,B18)+$C$23*IF(D18="x",C18,D18))+$B$9)</f>
        <v>N/A</v>
      </c>
      <c r="L33" s="1" t="str">
        <f>IF(C18="x","N/A",$B$8*($C$21*IF(B18="x",C18,B18)+$C$22*IF(C17="x",C18,C17)+$C$23*IF(C19="x",C18,C19))+$B$9)</f>
        <v>N/A</v>
      </c>
      <c r="O33" s="8" t="s">
        <v>18</v>
      </c>
      <c r="P33" s="1" t="str">
        <f>IF(J18="x","N/A",$B$8*($C$21*IF(J17="x",J18,J17)+$C$22*IF(I18="x",J18,I18)+$C$23*IF(K18="x",J18,K18))+$B$9)</f>
        <v>N/A</v>
      </c>
      <c r="Q33" s="1" t="str">
        <f>IF(J18="x","N/A",$B$8*($C$21*IF(K18="x",J18,K18)+$C$22*IF(J17="x",J18,J17)+$C$23*IF(J19="x",J18,J19))+$B$9)</f>
        <v>N/A</v>
      </c>
      <c r="R33" s="1" t="str">
        <f>IF(J18="x","N/A",$B$8*($C$21*IF(J19="x",J18,J19)+$C$22*IF(I18="x",J18,I18)+$C$23*IF(K18="x",J18,K18))+$B$9)</f>
        <v>N/A</v>
      </c>
      <c r="S33" s="1" t="str">
        <f>IF(J18="x","N/A",$B$8*($C$21*IF(I18="x",J18,I18)+$C$22*IF(J17="x",J18,J17)+$C$23*IF(J19="x",J18,J19))+$B$9)</f>
        <v>N/A</v>
      </c>
      <c r="V33" s="8" t="s">
        <v>18</v>
      </c>
      <c r="W33" s="1" t="str">
        <f>IF(Q18="x","N/A",$B$8*($C$21*IF(Q17="x",Q18,Q17)+$C$22*IF(P18="x",Q18,P18)+$C$23*IF(R18="x",Q18,R18))+$B$9)</f>
        <v>N/A</v>
      </c>
      <c r="X33" s="1" t="str">
        <f>IF(Q18="x","N/A",$B$8*($C$21*IF(R18="x",Q18,R18)+$C$22*IF(Q17="x",Q18,Q17)+$C$23*IF(Q19="x",Q18,Q19))+$B$9)</f>
        <v>N/A</v>
      </c>
      <c r="Y33" s="1" t="str">
        <f>IF(Q18="x","N/A",$B$8*($C$21*IF(Q19="x",Q18,Q19)+$C$22*IF(P18="x",Q18,P18)+$C$23*IF(R18="x",Q18,R18))+$B$9)</f>
        <v>N/A</v>
      </c>
      <c r="Z33" s="1" t="str">
        <f>IF(Q18="x","N/A",$B$8*($C$21*IF(P18="x",Q18,P18)+$C$22*IF(Q17="x",Q18,Q17)+$C$23*IF(Q19="x",Q18,Q19))+$B$9)</f>
        <v>N/A</v>
      </c>
      <c r="AC33" s="8" t="s">
        <v>18</v>
      </c>
      <c r="AD33" s="1" t="str">
        <f>IF(X18="x","N/A",$B$8*($C$21*IF(X17="x",X18,X17)+$C$22*IF(W18="x",X18,W18)+$C$23*IF(Y18="x",X18,Y18))+$B$9)</f>
        <v>N/A</v>
      </c>
      <c r="AE33" s="1" t="str">
        <f>IF(X18="x","N/A",$B$8*($C$21*IF(Y18="x",X18,Y18)+$C$22*IF(X17="x",X18,X17)+$C$23*IF(X19="x",X18,X19))+$B$9)</f>
        <v>N/A</v>
      </c>
      <c r="AF33" s="1" t="str">
        <f>IF(X18="x","N/A",$B$8*($C$21*IF(X19="x",X18,X19)+$C$22*IF(W18="x",X18,W18)+$C$23*IF(Y18="x",X18,Y18))+$B$9)</f>
        <v>N/A</v>
      </c>
      <c r="AG33" s="1" t="str">
        <f>IF(X18="x","N/A",$B$8*($C$21*IF(W18="x",X18,W18)+$C$22*IF(X17="x",X18,X17)+$C$23*IF(X19="x",X18,X19))+$B$9)</f>
        <v>N/A</v>
      </c>
      <c r="AJ33" s="8" t="s">
        <v>18</v>
      </c>
      <c r="AK33" s="1" t="str">
        <f>IF(AE18="x","N/A",$B$8*($C$21*IF(AE17="x",AE18,AE17)+$C$22*IF(AD18="x",AE18,AD18)+$C$23*IF(AF18="x",AE18,AF18))+$B$9)</f>
        <v>N/A</v>
      </c>
      <c r="AL33" s="1" t="str">
        <f>IF(AE18="x","N/A",$B$8*($C$21*IF(AF18="x",AE18,AF18)+$C$22*IF(AE17="x",AE18,AE17)+$C$23*IF(AE19="x",AE18,AE19))+$B$9)</f>
        <v>N/A</v>
      </c>
      <c r="AM33" s="1" t="str">
        <f>IF(AE18="x","N/A",$B$8*($C$21*IF(AE19="x",AE18,AE19)+$C$22*IF(AD18="x",AE18,AD18)+$C$23*IF(AF18="x",AE18,AF18))+$B$9)</f>
        <v>N/A</v>
      </c>
      <c r="AN33" s="1" t="str">
        <f>IF(AE18="x","N/A",$B$8*($C$21*IF(AD18="x",AE18,AD18)+$C$22*IF(AE17="x",AE18,AE17)+$C$23*IF(AE19="x",AE18,AE19))+$B$9)</f>
        <v>N/A</v>
      </c>
      <c r="AQ33" s="8" t="s">
        <v>18</v>
      </c>
      <c r="AR33" s="1" t="str">
        <f>IF(AL18="x","N/A",$B$8*($C$21*IF(AL17="x",AL18,AL17)+$C$22*IF(AK18="x",AL18,AK18)+$C$23*IF(AM18="x",AL18,AM18))+$B$9)</f>
        <v>N/A</v>
      </c>
      <c r="AS33" s="1" t="str">
        <f>IF(AL18="x","N/A",$B$8*($C$21*IF(AM18="x",AL18,AM18)+$C$22*IF(AL17="x",AL18,AL17)+$C$23*IF(AL19="x",AL18,AL19))+$B$9)</f>
        <v>N/A</v>
      </c>
      <c r="AT33" s="1" t="str">
        <f>IF(AL18="x","N/A",$B$8*($C$21*IF(AL19="x",AL18,AL19)+$C$22*IF(AK18="x",AL18,AK18)+$C$23*IF(AM18="x",AL18,AM18))+$B$9)</f>
        <v>N/A</v>
      </c>
      <c r="AU33" s="1" t="str">
        <f>IF(AL18="x","N/A",$B$8*($C$21*IF(AK18="x",AL18,AK18)+$C$22*IF(AL17="x",AL18,AL17)+$C$23*IF(AL19="x",AL18,AL19))+$B$9)</f>
        <v>N/A</v>
      </c>
      <c r="AX33" s="8" t="s">
        <v>18</v>
      </c>
      <c r="AY33" s="1" t="str">
        <f>IF(AS18="x","N/A",$B$8*($C$21*IF(AS17="x",AS18,AS17)+$C$22*IF(AR18="x",AS18,AR18)+$C$23*IF(AT18="x",AS18,AT18))+$B$9)</f>
        <v>N/A</v>
      </c>
      <c r="AZ33" s="1" t="str">
        <f>IF(AS18="x","N/A",$B$8*($C$21*IF(AT18="x",AS18,AT18)+$C$22*IF(AS17="x",AS18,AS17)+$C$23*IF(AS19="x",AS18,AS19))+$B$9)</f>
        <v>N/A</v>
      </c>
      <c r="BA33" s="1" t="str">
        <f>IF(AS18="x","N/A",$B$8*($C$21*IF(AS19="x",AS18,AS19)+$C$22*IF(AR18="x",AS18,AR18)+$C$23*IF(AT18="x",AS18,AT18))+$B$9)</f>
        <v>N/A</v>
      </c>
      <c r="BB33" s="1" t="str">
        <f>IF(AS18="x","N/A",$B$8*($C$21*IF(AR18="x",AS18,AR18)+$C$22*IF(AS17="x",AS18,AS17)+$C$23*IF(AS19="x",AS18,AS19))+$B$9)</f>
        <v>N/A</v>
      </c>
      <c r="BE33" s="8" t="s">
        <v>18</v>
      </c>
      <c r="BF33" s="1" t="str">
        <f>IF(AZ18="x","N/A",$B$8*($C$21*IF(AZ17="x",AZ18,AZ17)+$C$22*IF(AY18="x",AZ18,AY18)+$C$23*IF(BA18="x",AZ18,BA18))+$B$9)</f>
        <v>N/A</v>
      </c>
      <c r="BG33" s="1" t="str">
        <f>IF(AZ18="x","N/A",$B$8*($C$21*IF(BA18="x",AZ18,BA18)+$C$22*IF(AZ17="x",AZ18,AZ17)+$C$23*IF(AZ19="x",AZ18,AZ19))+$B$9)</f>
        <v>N/A</v>
      </c>
      <c r="BH33" s="1" t="str">
        <f>IF(AZ18="x","N/A",$B$8*($C$21*IF(AZ19="x",AZ18,AZ19)+$C$22*IF(AY18="x",AZ18,AY18)+$C$23*IF(BA18="x",AZ18,BA18))+$B$9)</f>
        <v>N/A</v>
      </c>
      <c r="BI33" s="1" t="str">
        <f>IF(AZ18="x","N/A",$B$8*($C$21*IF(AY18="x",AZ18,AY18)+$C$22*IF(AZ17="x",AZ18,AZ17)+$C$23*IF(AZ19="x",AZ18,AZ19))+$B$9)</f>
        <v>N/A</v>
      </c>
      <c r="BL33" s="8" t="s">
        <v>18</v>
      </c>
      <c r="BM33" s="1" t="str">
        <f>IF(BG18="x","N/A",$B$8*($C$21*IF(BG17="x",BG18,BG17)+$C$22*IF(BF18="x",BG18,BF18)+$C$23*IF(BH18="x",BG18,BH18))+$B$9)</f>
        <v>N/A</v>
      </c>
      <c r="BN33" s="1" t="str">
        <f>IF(BG18="x","N/A",$B$8*($C$21*IF(BH18="x",BG18,BH18)+$C$22*IF(BG17="x",BG18,BG17)+$C$23*IF(BG19="x",BG18,BG19))+$B$9)</f>
        <v>N/A</v>
      </c>
      <c r="BO33" s="1" t="str">
        <f>IF(BG18="x","N/A",$B$8*($C$21*IF(BG19="x",BG18,BG19)+$C$22*IF(BF18="x",BG18,BF18)+$C$23*IF(BH18="x",BG18,BH18))+$B$9)</f>
        <v>N/A</v>
      </c>
      <c r="BP33" s="1" t="str">
        <f>IF(BG18="x","N/A",$B$8*($C$21*IF(BF18="x",BG18,BF18)+$C$22*IF(BG17="x",BG18,BG17)+$C$23*IF(BG19="x",BG18,BG19))+$B$9)</f>
        <v>N/A</v>
      </c>
      <c r="BS33" s="8" t="s">
        <v>18</v>
      </c>
      <c r="BT33" s="1" t="str">
        <f>IF(BN18="x","N/A",$B$8*($C$21*IF(BN17="x",BN18,BN17)+$C$22*IF(BM18="x",BN18,BM18)+$C$23*IF(BO18="x",BN18,BO18))+$B$9)</f>
        <v>N/A</v>
      </c>
      <c r="BU33" s="1" t="str">
        <f>IF(BN18="x","N/A",$B$8*($C$21*IF(BO18="x",BN18,BO18)+$C$22*IF(BN17="x",BN18,BN17)+$C$23*IF(BN19="x",BN18,BN19))+$B$9)</f>
        <v>N/A</v>
      </c>
      <c r="BV33" s="1" t="str">
        <f>IF(BN18="x","N/A",$B$8*($C$21*IF(BN19="x",BN18,BN19)+$C$22*IF(BM18="x",BN18,BM18)+$C$23*IF(BO18="x",BN18,BO18))+$B$9)</f>
        <v>N/A</v>
      </c>
      <c r="BW33" s="1" t="str">
        <f>IF(BN18="x","N/A",$B$8*($C$21*IF(BM18="x",BN18,BM18)+$C$22*IF(BN17="x",BN18,BN17)+$C$23*IF(BN19="x",BN18,BN19))+$B$9)</f>
        <v>N/A</v>
      </c>
      <c r="BZ33" s="8" t="s">
        <v>18</v>
      </c>
      <c r="CA33" s="1" t="str">
        <f>IF(BU18="x","N/A",$B$8*($C$21*IF(BU17="x",BU18,BU17)+$C$22*IF(BT18="x",BU18,BT18)+$C$23*IF(BV18="x",BU18,BV18))+$B$9)</f>
        <v>N/A</v>
      </c>
      <c r="CB33" s="1" t="str">
        <f>IF(BU18="x","N/A",$B$8*($C$21*IF(BV18="x",BU18,BV18)+$C$22*IF(BU17="x",BU18,BU17)+$C$23*IF(BU19="x",BU18,BU19))+$B$9)</f>
        <v>N/A</v>
      </c>
      <c r="CC33" s="1" t="str">
        <f>IF(BU18="x","N/A",$B$8*($C$21*IF(BU19="x",BU18,BU19)+$C$22*IF(BT18="x",BU18,BT18)+$C$23*IF(BV18="x",BU18,BV18))+$B$9)</f>
        <v>N/A</v>
      </c>
      <c r="CD33" s="1" t="str">
        <f>IF(BU18="x","N/A",$B$8*($C$21*IF(BT18="x",BU18,BT18)+$C$22*IF(BU17="x",BU18,BU17)+$C$23*IF(BU19="x",BU18,BU19))+$B$9)</f>
        <v>N/A</v>
      </c>
      <c r="CG33" s="8" t="s">
        <v>18</v>
      </c>
      <c r="CH33" s="1" t="str">
        <f>IF(CB18="x","N/A",$B$8*($C$21*IF(CB17="x",CB18,CB17)+$C$22*IF(CA18="x",CB18,CA18)+$C$23*IF(CC18="x",CB18,CC18))+$B$9)</f>
        <v>N/A</v>
      </c>
      <c r="CI33" s="1" t="str">
        <f>IF(CB18="x","N/A",$B$8*($C$21*IF(CC18="x",CB18,CC18)+$C$22*IF(CB17="x",CB18,CB17)+$C$23*IF(CB19="x",CB18,CB19))+$B$9)</f>
        <v>N/A</v>
      </c>
      <c r="CJ33" s="1" t="str">
        <f>IF(CB18="x","N/A",$B$8*($C$21*IF(CB19="x",CB18,CB19)+$C$22*IF(CA18="x",CB18,CA18)+$C$23*IF(CC18="x",CB18,CC18))+$B$9)</f>
        <v>N/A</v>
      </c>
      <c r="CK33" s="1" t="str">
        <f>IF(CB18="x","N/A",$B$8*($C$21*IF(CA18="x",CB18,CA18)+$C$22*IF(CB17="x",CB18,CB17)+$C$23*IF(CB19="x",CB18,CB19))+$B$9)</f>
        <v>N/A</v>
      </c>
      <c r="CN33" s="8" t="s">
        <v>18</v>
      </c>
      <c r="CO33" s="1" t="str">
        <f>IF(CI18="x","N/A",$B$8*($C$21*IF(CI17="x",CI18,CI17)+$C$22*IF(CH18="x",CI18,CH18)+$C$23*IF(CJ18="x",CI18,CJ18))+$B$9)</f>
        <v>N/A</v>
      </c>
      <c r="CP33" s="1" t="str">
        <f>IF(CI18="x","N/A",$B$8*($C$21*IF(CJ18="x",CI18,CJ18)+$C$22*IF(CI17="x",CI18,CI17)+$C$23*IF(CI19="x",CI18,CI19))+$B$9)</f>
        <v>N/A</v>
      </c>
      <c r="CQ33" s="1" t="str">
        <f>IF(CI18="x","N/A",$B$8*($C$21*IF(CI19="x",CI18,CI19)+$C$22*IF(CH18="x",CI18,CH18)+$C$23*IF(CJ18="x",CI18,CJ18))+$B$9)</f>
        <v>N/A</v>
      </c>
      <c r="CR33" s="1" t="str">
        <f>IF(CI18="x","N/A",$B$8*($C$21*IF(CH18="x",CI18,CH18)+$C$22*IF(CI17="x",CI18,CI17)+$C$23*IF(CI19="x",CI18,CI19))+$B$9)</f>
        <v>N/A</v>
      </c>
      <c r="CU33" s="8" t="s">
        <v>18</v>
      </c>
      <c r="CV33" s="1" t="str">
        <f>IF(CP18="x","N/A",$B$8*($C$21*IF(CP17="x",CP18,CP17)+$C$22*IF(CO18="x",CP18,CO18)+$C$23*IF(CQ18="x",CP18,CQ18))+$B$9)</f>
        <v>N/A</v>
      </c>
      <c r="CW33" s="1" t="str">
        <f>IF(CP18="x","N/A",$B$8*($C$21*IF(CQ18="x",CP18,CQ18)+$C$22*IF(CP17="x",CP18,CP17)+$C$23*IF(CP19="x",CP18,CP19))+$B$9)</f>
        <v>N/A</v>
      </c>
      <c r="CX33" s="1" t="str">
        <f>IF(CP18="x","N/A",$B$8*($C$21*IF(CP19="x",CP18,CP19)+$C$22*IF(CO18="x",CP18,CO18)+$C$23*IF(CQ18="x",CP18,CQ18))+$B$9)</f>
        <v>N/A</v>
      </c>
      <c r="CY33" s="1" t="str">
        <f>IF(CP18="x","N/A",$B$8*($C$21*IF(CO18="x",CP18,CO18)+$C$22*IF(CP17="x",CP18,CP17)+$C$23*IF(CP19="x",CP18,CP19))+$B$9)</f>
        <v>N/A</v>
      </c>
      <c r="DB33" s="8" t="s">
        <v>18</v>
      </c>
      <c r="DC33" s="1" t="str">
        <f>IF(CW18="x","N/A",$B$8*($C$21*IF(CW17="x",CW18,CW17)+$C$22*IF(CV18="x",CW18,CV18)+$C$23*IF(CX18="x",CW18,CX18))+$B$9)</f>
        <v>N/A</v>
      </c>
      <c r="DD33" s="1" t="str">
        <f>IF(CW18="x","N/A",$B$8*($C$21*IF(CX18="x",CW18,CX18)+$C$22*IF(CW17="x",CW18,CW17)+$C$23*IF(CW19="x",CW18,CW19))+$B$9)</f>
        <v>N/A</v>
      </c>
      <c r="DE33" s="1" t="str">
        <f>IF(CW18="x","N/A",$B$8*($C$21*IF(CW19="x",CW18,CW19)+$C$22*IF(CV18="x",CW18,CV18)+$C$23*IF(CX18="x",CW18,CX18))+$B$9)</f>
        <v>N/A</v>
      </c>
      <c r="DF33" s="1" t="str">
        <f>IF(CW18="x","N/A",$B$8*($C$21*IF(CV18="x",CW18,CV18)+$C$22*IF(CW17="x",CW18,CW17)+$C$23*IF(CW19="x",CW18,CW19))+$B$9)</f>
        <v>N/A</v>
      </c>
    </row>
    <row r="34" spans="8:110" x14ac:dyDescent="0.25">
      <c r="H34" s="8" t="s">
        <v>19</v>
      </c>
      <c r="I34" s="1">
        <f>IF(C19="x","N/A",$B$8*($C$21*IF(C18="x",C19,C18)+$C$22*IF(B19="x",C19,B19)+$C$23*IF(D19="x",C19,D19))+$B$9)</f>
        <v>-0.99</v>
      </c>
      <c r="J34" s="1">
        <f>IF(C19="x","N/A",$B$8*($C$21*IF(D19="x",C19,D19)+$C$22*IF(C18="x",C19,C18)+$C$23*IF(C20="x",C19,C20))+$B$9)</f>
        <v>-0.99</v>
      </c>
      <c r="K34" s="1">
        <f>IF(C19="x","N/A",$B$8*($C$21*IF(C20="x",C19,C20)+$C$22*IF(B19="x",C19,B19)+$C$23*IF(D19="x",C19,D19))+$B$9)</f>
        <v>-0.99</v>
      </c>
      <c r="L34" s="1">
        <f>IF(C19="x","N/A",$B$8*($C$21*IF(B19="x",C19,B19)+$C$22*IF(C18="x",C19,C18)+$C$23*IF(C20="x",C19,C20))+$B$9)</f>
        <v>-0.99</v>
      </c>
      <c r="O34" s="8" t="s">
        <v>19</v>
      </c>
      <c r="P34" s="1">
        <f>IF(J19="x","N/A",$B$8*($C$21*IF(J18="x",J19,J18)+$C$22*IF(I19="x",J19,I19)+$C$23*IF(K19="x",J19,K19))+$B$9)</f>
        <v>-1.98</v>
      </c>
      <c r="Q34" s="1">
        <f>IF(J19="x","N/A",$B$8*($C$21*IF(K19="x",J19,K19)+$C$22*IF(J18="x",J19,J18)+$C$23*IF(J20="x",J19,J20))+$B$9)</f>
        <v>-1.98</v>
      </c>
      <c r="R34" s="1">
        <f>IF(J19="x","N/A",$B$8*($C$21*IF(J20="x",J19,J20)+$C$22*IF(I19="x",J19,I19)+$C$23*IF(K19="x",J19,K19))+$B$9)</f>
        <v>-1.98</v>
      </c>
      <c r="S34" s="1">
        <f>IF(J19="x","N/A",$B$8*($C$21*IF(I19="x",J19,I19)+$C$22*IF(J18="x",J19,J18)+$C$23*IF(J20="x",J19,J20))+$B$9)</f>
        <v>-1.98</v>
      </c>
      <c r="V34" s="8" t="s">
        <v>19</v>
      </c>
      <c r="W34" s="1">
        <f>IF(Q19="x","N/A",$B$8*($C$21*IF(Q18="x",Q19,Q18)+$C$22*IF(P19="x",Q19,P19)+$C$23*IF(R19="x",Q19,R19))+$B$9)</f>
        <v>-2.9699999999999998</v>
      </c>
      <c r="X34" s="1">
        <f>IF(Q19="x","N/A",$B$8*($C$21*IF(R19="x",Q19,R19)+$C$22*IF(Q18="x",Q19,Q18)+$C$23*IF(Q20="x",Q19,Q20))+$B$9)</f>
        <v>-2.9699999999999998</v>
      </c>
      <c r="Y34" s="1">
        <f>IF(Q19="x","N/A",$B$8*($C$21*IF(Q20="x",Q19,Q20)+$C$22*IF(P19="x",Q19,P19)+$C$23*IF(R19="x",Q19,R19))+$B$9)</f>
        <v>-2.9699999999999998</v>
      </c>
      <c r="Z34" s="1">
        <f>IF(Q19="x","N/A",$B$8*($C$21*IF(P19="x",Q19,P19)+$C$22*IF(Q18="x",Q19,Q18)+$C$23*IF(Q20="x",Q19,Q20))+$B$9)</f>
        <v>-2.9699999999999998</v>
      </c>
      <c r="AC34" s="8" t="s">
        <v>19</v>
      </c>
      <c r="AD34" s="1">
        <f>IF(X19="x","N/A",$B$8*($C$21*IF(X18="x",X19,X18)+$C$22*IF(W19="x",X19,W19)+$C$23*IF(Y19="x",X19,Y19))+$B$9)</f>
        <v>-3.96</v>
      </c>
      <c r="AE34" s="1">
        <f>IF(X19="x","N/A",$B$8*($C$21*IF(Y19="x",X19,Y19)+$C$22*IF(X18="x",X19,X18)+$C$23*IF(X20="x",X19,X20))+$B$9)</f>
        <v>-3.96</v>
      </c>
      <c r="AF34" s="1">
        <f>IF(X19="x","N/A",$B$8*($C$21*IF(X20="x",X19,X20)+$C$22*IF(W19="x",X19,W19)+$C$23*IF(Y19="x",X19,Y19))+$B$9)</f>
        <v>-3.96</v>
      </c>
      <c r="AG34" s="1">
        <f>IF(X19="x","N/A",$B$8*($C$21*IF(W19="x",X19,W19)+$C$22*IF(X18="x",X19,X18)+$C$23*IF(X20="x",X19,X20))+$B$9)</f>
        <v>-3.96</v>
      </c>
      <c r="AJ34" s="8" t="s">
        <v>19</v>
      </c>
      <c r="AK34" s="1">
        <f>IF(AE19="x","N/A",$B$8*($C$21*IF(AE18="x",AE19,AE18)+$C$22*IF(AD19="x",AE19,AD19)+$C$23*IF(AF19="x",AE19,AF19))+$B$9)</f>
        <v>-4.95</v>
      </c>
      <c r="AL34" s="1">
        <f>IF(AE19="x","N/A",$B$8*($C$21*IF(AF19="x",AE19,AF19)+$C$22*IF(AE18="x",AE19,AE18)+$C$23*IF(AE20="x",AE19,AE20))+$B$9)</f>
        <v>-4.95</v>
      </c>
      <c r="AM34" s="1">
        <f>IF(AE19="x","N/A",$B$8*($C$21*IF(AE20="x",AE19,AE20)+$C$22*IF(AD19="x",AE19,AD19)+$C$23*IF(AF19="x",AE19,AF19))+$B$9)</f>
        <v>-4.95</v>
      </c>
      <c r="AN34" s="1">
        <f>IF(AE19="x","N/A",$B$8*($C$21*IF(AD19="x",AE19,AD19)+$C$22*IF(AE18="x",AE19,AE18)+$C$23*IF(AE20="x",AE19,AE20))+$B$9)</f>
        <v>-4.95</v>
      </c>
      <c r="AQ34" s="8" t="s">
        <v>19</v>
      </c>
      <c r="AR34" s="1">
        <f>IF(AL19="x","N/A",$B$8*($C$21*IF(AL18="x",AL19,AL18)+$C$22*IF(AK19="x",AL19,AK19)+$C$23*IF(AM19="x",AL19,AM19))+$B$9)</f>
        <v>-5.94</v>
      </c>
      <c r="AS34" s="1">
        <f>IF(AL19="x","N/A",$B$8*($C$21*IF(AM19="x",AL19,AM19)+$C$22*IF(AL18="x",AL19,AL18)+$C$23*IF(AL20="x",AL19,AL20))+$B$9)</f>
        <v>-5.94</v>
      </c>
      <c r="AT34" s="1">
        <f>IF(AL19="x","N/A",$B$8*($C$21*IF(AL20="x",AL19,AL20)+$C$22*IF(AK19="x",AL19,AK19)+$C$23*IF(AM19="x",AL19,AM19))+$B$9)</f>
        <v>-5.94</v>
      </c>
      <c r="AU34" s="1">
        <f>IF(AL19="x","N/A",$B$8*($C$21*IF(AK19="x",AL19,AK19)+$C$22*IF(AL18="x",AL19,AL18)+$C$23*IF(AL20="x",AL19,AL20))+$B$9)</f>
        <v>-5.94</v>
      </c>
      <c r="AX34" s="8" t="s">
        <v>19</v>
      </c>
      <c r="AY34" s="1">
        <f>IF(AS19="x","N/A",$B$8*($C$21*IF(AS18="x",AS19,AS18)+$C$22*IF(AR19="x",AS19,AR19)+$C$23*IF(AT19="x",AS19,AT19))+$B$9)</f>
        <v>-6.9300000000000015</v>
      </c>
      <c r="AZ34" s="1">
        <f>IF(AS19="x","N/A",$B$8*($C$21*IF(AT19="x",AS19,AT19)+$C$22*IF(AS18="x",AS19,AS18)+$C$23*IF(AS20="x",AS19,AS20))+$B$9)</f>
        <v>-6.9300000000000015</v>
      </c>
      <c r="BA34" s="1">
        <f>IF(AS19="x","N/A",$B$8*($C$21*IF(AS20="x",AS19,AS20)+$C$22*IF(AR19="x",AS19,AR19)+$C$23*IF(AT19="x",AS19,AT19))+$B$9)</f>
        <v>-6.9300000000000015</v>
      </c>
      <c r="BB34" s="1">
        <f>IF(AS19="x","N/A",$B$8*($C$21*IF(AR19="x",AS19,AR19)+$C$22*IF(AS18="x",AS19,AS18)+$C$23*IF(AS20="x",AS19,AS20))+$B$9)</f>
        <v>-6.9300000000000015</v>
      </c>
      <c r="BE34" s="8" t="s">
        <v>19</v>
      </c>
      <c r="BF34" s="1">
        <f>IF(AZ19="x","N/A",$B$8*($C$21*IF(AZ18="x",AZ19,AZ18)+$C$22*IF(AY19="x",AZ19,AY19)+$C$23*IF(BA19="x",AZ19,BA19))+$B$9)</f>
        <v>-7.9200000000000026</v>
      </c>
      <c r="BG34" s="1">
        <f>IF(AZ19="x","N/A",$B$8*($C$21*IF(BA19="x",AZ19,BA19)+$C$22*IF(AZ18="x",AZ19,AZ18)+$C$23*IF(AZ20="x",AZ19,AZ20))+$B$9)</f>
        <v>-7.9200000000000026</v>
      </c>
      <c r="BH34" s="1">
        <f>IF(AZ19="x","N/A",$B$8*($C$21*IF(AZ20="x",AZ19,AZ20)+$C$22*IF(AY19="x",AZ19,AY19)+$C$23*IF(BA19="x",AZ19,BA19))+$B$9)</f>
        <v>-7.9200000000000026</v>
      </c>
      <c r="BI34" s="1">
        <f>IF(AZ19="x","N/A",$B$8*($C$21*IF(AY19="x",AZ19,AY19)+$C$22*IF(AZ18="x",AZ19,AZ18)+$C$23*IF(AZ20="x",AZ19,AZ20))+$B$9)</f>
        <v>-7.9200000000000026</v>
      </c>
      <c r="BL34" s="8" t="s">
        <v>19</v>
      </c>
      <c r="BM34" s="1">
        <f>IF(BG19="x","N/A",$B$8*($C$21*IF(BG18="x",BG19,BG18)+$C$22*IF(BF19="x",BG19,BF19)+$C$23*IF(BH19="x",BG19,BH19))+$B$9)</f>
        <v>-8.9100000000000019</v>
      </c>
      <c r="BN34" s="1">
        <f>IF(BG19="x","N/A",$B$8*($C$21*IF(BH19="x",BG19,BH19)+$C$22*IF(BG18="x",BG19,BG18)+$C$23*IF(BG20="x",BG19,BG20))+$B$9)</f>
        <v>-8.9100000000000019</v>
      </c>
      <c r="BO34" s="1">
        <f>IF(BG19="x","N/A",$B$8*($C$21*IF(BG20="x",BG19,BG20)+$C$22*IF(BF19="x",BG19,BF19)+$C$23*IF(BH19="x",BG19,BH19))+$B$9)</f>
        <v>-8.9100000000000019</v>
      </c>
      <c r="BP34" s="1">
        <f>IF(BG19="x","N/A",$B$8*($C$21*IF(BF19="x",BG19,BF19)+$C$22*IF(BG18="x",BG19,BG18)+$C$23*IF(BG20="x",BG19,BG20))+$B$9)</f>
        <v>-8.9100000000000019</v>
      </c>
      <c r="BS34" s="8" t="s">
        <v>19</v>
      </c>
      <c r="BT34" s="1">
        <f>IF(BN19="x","N/A",$B$8*($C$21*IF(BN18="x",BN19,BN18)+$C$22*IF(BM19="x",BN19,BM19)+$C$23*IF(BO19="x",BN19,BO19))+$B$9)</f>
        <v>-9.9000000000000021</v>
      </c>
      <c r="BU34" s="1">
        <f>IF(BN19="x","N/A",$B$8*($C$21*IF(BO19="x",BN19,BO19)+$C$22*IF(BN18="x",BN19,BN18)+$C$23*IF(BN20="x",BN19,BN20))+$B$9)</f>
        <v>-9.9000000000000021</v>
      </c>
      <c r="BV34" s="1">
        <f>IF(BN19="x","N/A",$B$8*($C$21*IF(BN20="x",BN19,BN20)+$C$22*IF(BM19="x",BN19,BM19)+$C$23*IF(BO19="x",BN19,BO19))+$B$9)</f>
        <v>-9.9000000000000021</v>
      </c>
      <c r="BW34" s="1">
        <f>IF(BN19="x","N/A",$B$8*($C$21*IF(BM19="x",BN19,BM19)+$C$22*IF(BN18="x",BN19,BN18)+$C$23*IF(BN20="x",BN19,BN20))+$B$9)</f>
        <v>-9.9000000000000021</v>
      </c>
      <c r="BZ34" s="8" t="s">
        <v>19</v>
      </c>
      <c r="CA34" s="1">
        <f>IF(BU19="x","N/A",$B$8*($C$21*IF(BU18="x",BU19,BU18)+$C$22*IF(BT19="x",BU19,BT19)+$C$23*IF(BV19="x",BU19,BV19))+$B$9)</f>
        <v>-10.890000000000002</v>
      </c>
      <c r="CB34" s="1">
        <f>IF(BU19="x","N/A",$B$8*($C$21*IF(BV19="x",BU19,BV19)+$C$22*IF(BU18="x",BU19,BU18)+$C$23*IF(BU20="x",BU19,BU20))+$B$9)</f>
        <v>-10.890000000000002</v>
      </c>
      <c r="CC34" s="1">
        <f>IF(BU19="x","N/A",$B$8*($C$21*IF(BU20="x",BU19,BU20)+$C$22*IF(BT19="x",BU19,BT19)+$C$23*IF(BV19="x",BU19,BV19))+$B$9)</f>
        <v>-10.890000000000002</v>
      </c>
      <c r="CD34" s="1">
        <f>IF(BU19="x","N/A",$B$8*($C$21*IF(BT19="x",BU19,BT19)+$C$22*IF(BU18="x",BU19,BU18)+$C$23*IF(BU20="x",BU19,BU20))+$B$9)</f>
        <v>-10.890000000000002</v>
      </c>
      <c r="CG34" s="8" t="s">
        <v>19</v>
      </c>
      <c r="CH34" s="1">
        <f>IF(CB19="x","N/A",$B$8*($C$21*IF(CB18="x",CB19,CB18)+$C$22*IF(CA19="x",CB19,CA19)+$C$23*IF(CC19="x",CB19,CC19))+$B$9)</f>
        <v>-11.880000000000003</v>
      </c>
      <c r="CI34" s="1">
        <f>IF(CB19="x","N/A",$B$8*($C$21*IF(CC19="x",CB19,CC19)+$C$22*IF(CB18="x",CB19,CB18)+$C$23*IF(CB20="x",CB19,CB20))+$B$9)</f>
        <v>-11.880000000000003</v>
      </c>
      <c r="CJ34" s="1">
        <f>IF(CB19="x","N/A",$B$8*($C$21*IF(CB20="x",CB19,CB20)+$C$22*IF(CA19="x",CB19,CA19)+$C$23*IF(CC19="x",CB19,CC19))+$B$9)</f>
        <v>-11.880000000000003</v>
      </c>
      <c r="CK34" s="1">
        <f>IF(CB19="x","N/A",$B$8*($C$21*IF(CA19="x",CB19,CA19)+$C$22*IF(CB18="x",CB19,CB18)+$C$23*IF(CB20="x",CB19,CB20))+$B$9)</f>
        <v>-11.880000000000003</v>
      </c>
      <c r="CN34" s="8" t="s">
        <v>19</v>
      </c>
      <c r="CO34" s="1">
        <f>IF(CI19="x","N/A",$B$8*($C$21*IF(CI18="x",CI19,CI18)+$C$22*IF(CH19="x",CI19,CH19)+$C$23*IF(CJ19="x",CI19,CJ19))+$B$9)</f>
        <v>-12.863128052326404</v>
      </c>
      <c r="CP34" s="1">
        <f>IF(CI19="x","N/A",$B$8*($C$21*IF(CJ19="x",CI19,CJ19)+$C$22*IF(CI18="x",CI19,CI18)+$C$23*IF(CI20="x",CI19,CI20))+$B$9)</f>
        <v>-12.815024418611204</v>
      </c>
      <c r="CQ34" s="1">
        <f>IF(CI19="x","N/A",$B$8*($C$21*IF(CI20="x",CI19,CI20)+$C$22*IF(CH19="x",CI19,CH19)+$C$23*IF(CJ19="x",CI19,CJ19))+$B$9)</f>
        <v>-12.863128052326404</v>
      </c>
      <c r="CR34" s="1">
        <f>IF(CI19="x","N/A",$B$8*($C$21*IF(CH19="x",CI19,CH19)+$C$22*IF(CI18="x",CI19,CI18)+$C$23*IF(CI20="x",CI19,CI20))+$B$9)</f>
        <v>-12.870000000000005</v>
      </c>
      <c r="CU34" s="8" t="s">
        <v>19</v>
      </c>
      <c r="CV34" s="1">
        <f>IF(CP19="x","N/A",$B$8*($C$21*IF(CP18="x",CP19,CP18)+$C$22*IF(CO19="x",CP19,CO19)+$C$23*IF(CQ19="x",CP19,CQ19))+$B$9)</f>
        <v>-13.789287658438662</v>
      </c>
      <c r="CW34" s="1">
        <f>IF(CP19="x","N/A",$B$8*($C$21*IF(CQ19="x",CP19,CQ19)+$C$22*IF(CP18="x",CP19,CP18)+$C$23*IF(CP20="x",CP19,CP20))+$B$9)</f>
        <v>-13.635149872119811</v>
      </c>
      <c r="CX34" s="1">
        <f>IF(CP19="x","N/A",$B$8*($C$21*IF(CP20="x",CP19,CP20)+$C$22*IF(CO19="x",CP19,CO19)+$C$23*IF(CQ19="x",CP19,CQ19))+$B$9)</f>
        <v>-13.789287658438662</v>
      </c>
      <c r="CY34" s="1">
        <f>IF(CP19="x","N/A",$B$8*($C$21*IF(CO19="x",CP19,CO19)+$C$22*IF(CP18="x",CP19,CP18)+$C$23*IF(CP20="x",CP19,CP20))+$B$9)</f>
        <v>-13.849004883722245</v>
      </c>
      <c r="DB34" s="8" t="s">
        <v>19</v>
      </c>
      <c r="DC34" s="1">
        <f>IF(CW19="x","N/A",$B$8*($C$21*IF(CW18="x",CW19,CW18)+$C$22*IF(CV19="x",CW19,CV19)+$C$23*IF(CX19="x",CW19,CX19))+$B$9)</f>
        <v>-14.602974096977105</v>
      </c>
      <c r="DD34" s="1">
        <f>IF(CW19="x","N/A",$B$8*($C$21*IF(CX19="x",CW19,CX19)+$C$22*IF(CW18="x",CW19,CW18)+$C$23*IF(CW20="x",CW19,CW20))+$B$9)</f>
        <v>-14.303047940762836</v>
      </c>
      <c r="DE34" s="1">
        <f>IF(CW19="x","N/A",$B$8*($C$21*IF(CW20="x",CW19,CW20)+$C$22*IF(CV19="x",CW19,CV19)+$C$23*IF(CX19="x",CW19,CX19))+$B$9)</f>
        <v>-14.602974096977105</v>
      </c>
      <c r="DF34" s="1">
        <f>IF(CW19="x","N/A",$B$8*($C$21*IF(CV19="x",CW19,CV19)+$C$22*IF(CW18="x",CW19,CW18)+$C$23*IF(CW20="x",CW19,CW20))+$B$9)</f>
        <v>-14.769845602335137</v>
      </c>
    </row>
    <row r="35" spans="8:110" x14ac:dyDescent="0.25">
      <c r="H35" s="8" t="s">
        <v>20</v>
      </c>
      <c r="I35" s="1" t="str">
        <f>IF(D14="x","N/A",$B$8*($C$21*IF(D13="x",D14,D13)+$C$22*IF(C14="x",D14,C14)+$C$23*IF(E14="x",D14,E14))+$B$9)</f>
        <v>N/A</v>
      </c>
      <c r="J35" s="1" t="str">
        <f>IF(D14="x","N/A",$B$8*($C$21*IF(E14="x",D14,E14)+$C$22*IF(D13="x",D14,D13)+$C$23*IF(D15="x",D14,D15))+$B$9)</f>
        <v>N/A</v>
      </c>
      <c r="K35" s="1" t="str">
        <f>IF(D14="x","N/A",$B$8*($C$21*IF(D15="x",D14,D15)+$C$22*IF(C14="x",D14,C14)+$C$23*IF(E14="x",D14,E14))+$B$9)</f>
        <v>N/A</v>
      </c>
      <c r="L35" s="1" t="str">
        <f>IF(D14="x","N/A",$B$8*($C$21*IF(C14="x",D14,C14)+$C$22*IF(D13="x",D14,D13)+$C$23*IF(D15="x",D14,D15))+$B$9)</f>
        <v>N/A</v>
      </c>
      <c r="O35" s="8" t="s">
        <v>20</v>
      </c>
      <c r="P35" s="1" t="str">
        <f>IF(K14="x","N/A",$B$8*($C$21*IF(K13="x",K14,K13)+$C$22*IF(J14="x",K14,J14)+$C$23*IF(L14="x",K14,L14))+$B$9)</f>
        <v>N/A</v>
      </c>
      <c r="Q35" s="1" t="str">
        <f>IF(K14="x","N/A",$B$8*($C$21*IF(L14="x",K14,L14)+$C$22*IF(K13="x",K14,K13)+$C$23*IF(K15="x",K14,K15))+$B$9)</f>
        <v>N/A</v>
      </c>
      <c r="R35" s="1" t="str">
        <f>IF(K14="x","N/A",$B$8*($C$21*IF(K15="x",K14,K15)+$C$22*IF(J14="x",K14,J14)+$C$23*IF(L14="x",K14,L14))+$B$9)</f>
        <v>N/A</v>
      </c>
      <c r="S35" s="1" t="str">
        <f>IF(K14="x","N/A",$B$8*($C$21*IF(J14="x",K14,J14)+$C$22*IF(K13="x",K14,K13)+$C$23*IF(K15="x",K14,K15))+$B$9)</f>
        <v>N/A</v>
      </c>
      <c r="V35" s="8" t="s">
        <v>20</v>
      </c>
      <c r="W35" s="1" t="str">
        <f>IF(R14="x","N/A",$B$8*($C$21*IF(R13="x",R14,R13)+$C$22*IF(Q14="x",R14,Q14)+$C$23*IF(S14="x",R14,S14))+$B$9)</f>
        <v>N/A</v>
      </c>
      <c r="X35" s="1" t="str">
        <f>IF(R14="x","N/A",$B$8*($C$21*IF(S14="x",R14,S14)+$C$22*IF(R13="x",R14,R13)+$C$23*IF(R15="x",R14,R15))+$B$9)</f>
        <v>N/A</v>
      </c>
      <c r="Y35" s="1" t="str">
        <f>IF(R14="x","N/A",$B$8*($C$21*IF(R15="x",R14,R15)+$C$22*IF(Q14="x",R14,Q14)+$C$23*IF(S14="x",R14,S14))+$B$9)</f>
        <v>N/A</v>
      </c>
      <c r="Z35" s="1" t="str">
        <f>IF(R14="x","N/A",$B$8*($C$21*IF(Q14="x",R14,Q14)+$C$22*IF(R13="x",R14,R13)+$C$23*IF(R15="x",R14,R15))+$B$9)</f>
        <v>N/A</v>
      </c>
      <c r="AC35" s="8" t="s">
        <v>20</v>
      </c>
      <c r="AD35" s="1" t="str">
        <f>IF(Y14="x","N/A",$B$8*($C$21*IF(Y13="x",Y14,Y13)+$C$22*IF(X14="x",Y14,X14)+$C$23*IF(Z14="x",Y14,Z14))+$B$9)</f>
        <v>N/A</v>
      </c>
      <c r="AE35" s="1" t="str">
        <f>IF(Y14="x","N/A",$B$8*($C$21*IF(Z14="x",Y14,Z14)+$C$22*IF(Y13="x",Y14,Y13)+$C$23*IF(Y15="x",Y14,Y15))+$B$9)</f>
        <v>N/A</v>
      </c>
      <c r="AF35" s="1" t="str">
        <f>IF(Y14="x","N/A",$B$8*($C$21*IF(Y15="x",Y14,Y15)+$C$22*IF(X14="x",Y14,X14)+$C$23*IF(Z14="x",Y14,Z14))+$B$9)</f>
        <v>N/A</v>
      </c>
      <c r="AG35" s="1" t="str">
        <f>IF(Y14="x","N/A",$B$8*($C$21*IF(X14="x",Y14,X14)+$C$22*IF(Y13="x",Y14,Y13)+$C$23*IF(Y15="x",Y14,Y15))+$B$9)</f>
        <v>N/A</v>
      </c>
      <c r="AJ35" s="8" t="s">
        <v>20</v>
      </c>
      <c r="AK35" s="1" t="str">
        <f>IF(AF14="x","N/A",$B$8*($C$21*IF(AF13="x",AF14,AF13)+$C$22*IF(AE14="x",AF14,AE14)+$C$23*IF(AG14="x",AF14,AG14))+$B$9)</f>
        <v>N/A</v>
      </c>
      <c r="AL35" s="1" t="str">
        <f>IF(AF14="x","N/A",$B$8*($C$21*IF(AG14="x",AF14,AG14)+$C$22*IF(AF13="x",AF14,AF13)+$C$23*IF(AF15="x",AF14,AF15))+$B$9)</f>
        <v>N/A</v>
      </c>
      <c r="AM35" s="1" t="str">
        <f>IF(AF14="x","N/A",$B$8*($C$21*IF(AF15="x",AF14,AF15)+$C$22*IF(AE14="x",AF14,AE14)+$C$23*IF(AG14="x",AF14,AG14))+$B$9)</f>
        <v>N/A</v>
      </c>
      <c r="AN35" s="1" t="str">
        <f>IF(AF14="x","N/A",$B$8*($C$21*IF(AE14="x",AF14,AE14)+$C$22*IF(AF13="x",AF14,AF13)+$C$23*IF(AF15="x",AF14,AF15))+$B$9)</f>
        <v>N/A</v>
      </c>
      <c r="AQ35" s="8" t="s">
        <v>20</v>
      </c>
      <c r="AR35" s="1" t="str">
        <f>IF(AM14="x","N/A",$B$8*($C$21*IF(AM13="x",AM14,AM13)+$C$22*IF(AL14="x",AM14,AL14)+$C$23*IF(AN14="x",AM14,AN14))+$B$9)</f>
        <v>N/A</v>
      </c>
      <c r="AS35" s="1" t="str">
        <f>IF(AM14="x","N/A",$B$8*($C$21*IF(AN14="x",AM14,AN14)+$C$22*IF(AM13="x",AM14,AM13)+$C$23*IF(AM15="x",AM14,AM15))+$B$9)</f>
        <v>N/A</v>
      </c>
      <c r="AT35" s="1" t="str">
        <f>IF(AM14="x","N/A",$B$8*($C$21*IF(AM15="x",AM14,AM15)+$C$22*IF(AL14="x",AM14,AL14)+$C$23*IF(AN14="x",AM14,AN14))+$B$9)</f>
        <v>N/A</v>
      </c>
      <c r="AU35" s="1" t="str">
        <f>IF(AM14="x","N/A",$B$8*($C$21*IF(AL14="x",AM14,AL14)+$C$22*IF(AM13="x",AM14,AM13)+$C$23*IF(AM15="x",AM14,AM15))+$B$9)</f>
        <v>N/A</v>
      </c>
      <c r="AX35" s="8" t="s">
        <v>20</v>
      </c>
      <c r="AY35" s="1" t="str">
        <f>IF(AT14="x","N/A",$B$8*($C$21*IF(AT13="x",AT14,AT13)+$C$22*IF(AS14="x",AT14,AS14)+$C$23*IF(AU14="x",AT14,AU14))+$B$9)</f>
        <v>N/A</v>
      </c>
      <c r="AZ35" s="1" t="str">
        <f>IF(AT14="x","N/A",$B$8*($C$21*IF(AU14="x",AT14,AU14)+$C$22*IF(AT13="x",AT14,AT13)+$C$23*IF(AT15="x",AT14,AT15))+$B$9)</f>
        <v>N/A</v>
      </c>
      <c r="BA35" s="1" t="str">
        <f>IF(AT14="x","N/A",$B$8*($C$21*IF(AT15="x",AT14,AT15)+$C$22*IF(AS14="x",AT14,AS14)+$C$23*IF(AU14="x",AT14,AU14))+$B$9)</f>
        <v>N/A</v>
      </c>
      <c r="BB35" s="1" t="str">
        <f>IF(AT14="x","N/A",$B$8*($C$21*IF(AS14="x",AT14,AS14)+$C$22*IF(AT13="x",AT14,AT13)+$C$23*IF(AT15="x",AT14,AT15))+$B$9)</f>
        <v>N/A</v>
      </c>
      <c r="BE35" s="8" t="s">
        <v>20</v>
      </c>
      <c r="BF35" s="1" t="str">
        <f>IF(BA14="x","N/A",$B$8*($C$21*IF(BA13="x",BA14,BA13)+$C$22*IF(AZ14="x",BA14,AZ14)+$C$23*IF(BB14="x",BA14,BB14))+$B$9)</f>
        <v>N/A</v>
      </c>
      <c r="BG35" s="1" t="str">
        <f>IF(BA14="x","N/A",$B$8*($C$21*IF(BB14="x",BA14,BB14)+$C$22*IF(BA13="x",BA14,BA13)+$C$23*IF(BA15="x",BA14,BA15))+$B$9)</f>
        <v>N/A</v>
      </c>
      <c r="BH35" s="1" t="str">
        <f>IF(BA14="x","N/A",$B$8*($C$21*IF(BA15="x",BA14,BA15)+$C$22*IF(AZ14="x",BA14,AZ14)+$C$23*IF(BB14="x",BA14,BB14))+$B$9)</f>
        <v>N/A</v>
      </c>
      <c r="BI35" s="1" t="str">
        <f>IF(BA14="x","N/A",$B$8*($C$21*IF(AZ14="x",BA14,AZ14)+$C$22*IF(BA13="x",BA14,BA13)+$C$23*IF(BA15="x",BA14,BA15))+$B$9)</f>
        <v>N/A</v>
      </c>
      <c r="BL35" s="8" t="s">
        <v>20</v>
      </c>
      <c r="BM35" s="1" t="str">
        <f>IF(BH14="x","N/A",$B$8*($C$21*IF(BH13="x",BH14,BH13)+$C$22*IF(BG14="x",BH14,BG14)+$C$23*IF(BI14="x",BH14,BI14))+$B$9)</f>
        <v>N/A</v>
      </c>
      <c r="BN35" s="1" t="str">
        <f>IF(BH14="x","N/A",$B$8*($C$21*IF(BI14="x",BH14,BI14)+$C$22*IF(BH13="x",BH14,BH13)+$C$23*IF(BH15="x",BH14,BH15))+$B$9)</f>
        <v>N/A</v>
      </c>
      <c r="BO35" s="1" t="str">
        <f>IF(BH14="x","N/A",$B$8*($C$21*IF(BH15="x",BH14,BH15)+$C$22*IF(BG14="x",BH14,BG14)+$C$23*IF(BI14="x",BH14,BI14))+$B$9)</f>
        <v>N/A</v>
      </c>
      <c r="BP35" s="1" t="str">
        <f>IF(BH14="x","N/A",$B$8*($C$21*IF(BG14="x",BH14,BG14)+$C$22*IF(BH13="x",BH14,BH13)+$C$23*IF(BH15="x",BH14,BH15))+$B$9)</f>
        <v>N/A</v>
      </c>
      <c r="BS35" s="8" t="s">
        <v>20</v>
      </c>
      <c r="BT35" s="1" t="str">
        <f>IF(BO14="x","N/A",$B$8*($C$21*IF(BO13="x",BO14,BO13)+$C$22*IF(BN14="x",BO14,BN14)+$C$23*IF(BP14="x",BO14,BP14))+$B$9)</f>
        <v>N/A</v>
      </c>
      <c r="BU35" s="1" t="str">
        <f>IF(BO14="x","N/A",$B$8*($C$21*IF(BP14="x",BO14,BP14)+$C$22*IF(BO13="x",BO14,BO13)+$C$23*IF(BO15="x",BO14,BO15))+$B$9)</f>
        <v>N/A</v>
      </c>
      <c r="BV35" s="1" t="str">
        <f>IF(BO14="x","N/A",$B$8*($C$21*IF(BO15="x",BO14,BO15)+$C$22*IF(BN14="x",BO14,BN14)+$C$23*IF(BP14="x",BO14,BP14))+$B$9)</f>
        <v>N/A</v>
      </c>
      <c r="BW35" s="1" t="str">
        <f>IF(BO14="x","N/A",$B$8*($C$21*IF(BN14="x",BO14,BN14)+$C$22*IF(BO13="x",BO14,BO13)+$C$23*IF(BO15="x",BO14,BO15))+$B$9)</f>
        <v>N/A</v>
      </c>
      <c r="BZ35" s="8" t="s">
        <v>20</v>
      </c>
      <c r="CA35" s="1" t="str">
        <f>IF(BV14="x","N/A",$B$8*($C$21*IF(BV13="x",BV14,BV13)+$C$22*IF(BU14="x",BV14,BU14)+$C$23*IF(BW14="x",BV14,BW14))+$B$9)</f>
        <v>N/A</v>
      </c>
      <c r="CB35" s="1" t="str">
        <f>IF(BV14="x","N/A",$B$8*($C$21*IF(BW14="x",BV14,BW14)+$C$22*IF(BV13="x",BV14,BV13)+$C$23*IF(BV15="x",BV14,BV15))+$B$9)</f>
        <v>N/A</v>
      </c>
      <c r="CC35" s="1" t="str">
        <f>IF(BV14="x","N/A",$B$8*($C$21*IF(BV15="x",BV14,BV15)+$C$22*IF(BU14="x",BV14,BU14)+$C$23*IF(BW14="x",BV14,BW14))+$B$9)</f>
        <v>N/A</v>
      </c>
      <c r="CD35" s="1" t="str">
        <f>IF(BV14="x","N/A",$B$8*($C$21*IF(BU14="x",BV14,BU14)+$C$22*IF(BV13="x",BV14,BV13)+$C$23*IF(BV15="x",BV14,BV15))+$B$9)</f>
        <v>N/A</v>
      </c>
      <c r="CG35" s="8" t="s">
        <v>20</v>
      </c>
      <c r="CH35" s="1" t="str">
        <f>IF(CC14="x","N/A",$B$8*($C$21*IF(CC13="x",CC14,CC13)+$C$22*IF(CB14="x",CC14,CB14)+$C$23*IF(CD14="x",CC14,CD14))+$B$9)</f>
        <v>N/A</v>
      </c>
      <c r="CI35" s="1" t="str">
        <f>IF(CC14="x","N/A",$B$8*($C$21*IF(CD14="x",CC14,CD14)+$C$22*IF(CC13="x",CC14,CC13)+$C$23*IF(CC15="x",CC14,CC15))+$B$9)</f>
        <v>N/A</v>
      </c>
      <c r="CJ35" s="1" t="str">
        <f>IF(CC14="x","N/A",$B$8*($C$21*IF(CC15="x",CC14,CC15)+$C$22*IF(CB14="x",CC14,CB14)+$C$23*IF(CD14="x",CC14,CD14))+$B$9)</f>
        <v>N/A</v>
      </c>
      <c r="CK35" s="1" t="str">
        <f>IF(CC14="x","N/A",$B$8*($C$21*IF(CB14="x",CC14,CB14)+$C$22*IF(CC13="x",CC14,CC13)+$C$23*IF(CC15="x",CC14,CC15))+$B$9)</f>
        <v>N/A</v>
      </c>
      <c r="CN35" s="8" t="s">
        <v>20</v>
      </c>
      <c r="CO35" s="1" t="str">
        <f>IF(CJ14="x","N/A",$B$8*($C$21*IF(CJ13="x",CJ14,CJ13)+$C$22*IF(CI14="x",CJ14,CI14)+$C$23*IF(CK14="x",CJ14,CK14))+$B$9)</f>
        <v>N/A</v>
      </c>
      <c r="CP35" s="1" t="str">
        <f>IF(CJ14="x","N/A",$B$8*($C$21*IF(CK14="x",CJ14,CK14)+$C$22*IF(CJ13="x",CJ14,CJ13)+$C$23*IF(CJ15="x",CJ14,CJ15))+$B$9)</f>
        <v>N/A</v>
      </c>
      <c r="CQ35" s="1" t="str">
        <f>IF(CJ14="x","N/A",$B$8*($C$21*IF(CJ15="x",CJ14,CJ15)+$C$22*IF(CI14="x",CJ14,CI14)+$C$23*IF(CK14="x",CJ14,CK14))+$B$9)</f>
        <v>N/A</v>
      </c>
      <c r="CR35" s="1" t="str">
        <f>IF(CJ14="x","N/A",$B$8*($C$21*IF(CI14="x",CJ14,CI14)+$C$22*IF(CJ13="x",CJ14,CJ13)+$C$23*IF(CJ15="x",CJ14,CJ15))+$B$9)</f>
        <v>N/A</v>
      </c>
      <c r="CU35" s="8" t="s">
        <v>20</v>
      </c>
      <c r="CV35" s="1" t="str">
        <f>IF(CQ14="x","N/A",$B$8*($C$21*IF(CQ13="x",CQ14,CQ13)+$C$22*IF(CP14="x",CQ14,CP14)+$C$23*IF(CR14="x",CQ14,CR14))+$B$9)</f>
        <v>N/A</v>
      </c>
      <c r="CW35" s="1" t="str">
        <f>IF(CQ14="x","N/A",$B$8*($C$21*IF(CR14="x",CQ14,CR14)+$C$22*IF(CQ13="x",CQ14,CQ13)+$C$23*IF(CQ15="x",CQ14,CQ15))+$B$9)</f>
        <v>N/A</v>
      </c>
      <c r="CX35" s="1" t="str">
        <f>IF(CQ14="x","N/A",$B$8*($C$21*IF(CQ15="x",CQ14,CQ15)+$C$22*IF(CP14="x",CQ14,CP14)+$C$23*IF(CR14="x",CQ14,CR14))+$B$9)</f>
        <v>N/A</v>
      </c>
      <c r="CY35" s="1" t="str">
        <f>IF(CQ14="x","N/A",$B$8*($C$21*IF(CP14="x",CQ14,CP14)+$C$22*IF(CQ13="x",CQ14,CQ13)+$C$23*IF(CQ15="x",CQ14,CQ15))+$B$9)</f>
        <v>N/A</v>
      </c>
      <c r="DB35" s="8" t="s">
        <v>20</v>
      </c>
      <c r="DC35" s="1" t="str">
        <f>IF(CX14="x","N/A",$B$8*($C$21*IF(CX13="x",CX14,CX13)+$C$22*IF(CW14="x",CX14,CW14)+$C$23*IF(CY14="x",CX14,CY14))+$B$9)</f>
        <v>N/A</v>
      </c>
      <c r="DD35" s="1" t="str">
        <f>IF(CX14="x","N/A",$B$8*($C$21*IF(CY14="x",CX14,CY14)+$C$22*IF(CX13="x",CX14,CX13)+$C$23*IF(CX15="x",CX14,CX15))+$B$9)</f>
        <v>N/A</v>
      </c>
      <c r="DE35" s="1" t="str">
        <f>IF(CX14="x","N/A",$B$8*($C$21*IF(CX15="x",CX14,CX15)+$C$22*IF(CW14="x",CX14,CW14)+$C$23*IF(CY14="x",CX14,CY14))+$B$9)</f>
        <v>N/A</v>
      </c>
      <c r="DF35" s="1" t="str">
        <f>IF(CX14="x","N/A",$B$8*($C$21*IF(CW14="x",CX14,CW14)+$C$22*IF(CX13="x",CX14,CX13)+$C$23*IF(CX15="x",CX14,CX15))+$B$9)</f>
        <v>N/A</v>
      </c>
    </row>
    <row r="36" spans="8:110" x14ac:dyDescent="0.25">
      <c r="H36" s="8" t="s">
        <v>21</v>
      </c>
      <c r="I36" s="1">
        <f>IF(D15="x","N/A",$B$8*($C$21*IF(D14="x",D15,D14)+$C$22*IF(C15="x",D15,C15)+$C$23*IF(E15="x",D15,E15))+$B$9)</f>
        <v>-0.99</v>
      </c>
      <c r="J36" s="1">
        <f>IF(D15="x","N/A",$B$8*($C$21*IF(E15="x",D15,E15)+$C$22*IF(D14="x",D15,D14)+$C$23*IF(D16="x",D15,D16))+$B$9)</f>
        <v>-0.99</v>
      </c>
      <c r="K36" s="1">
        <f>IF(D15="x","N/A",$B$8*($C$21*IF(D16="x",D15,D16)+$C$22*IF(C15="x",D15,C15)+$C$23*IF(E15="x",D15,E15))+$B$9)</f>
        <v>-0.99</v>
      </c>
      <c r="L36" s="1">
        <f>IF(D15="x","N/A",$B$8*($C$21*IF(C15="x",D15,C15)+$C$22*IF(D14="x",D15,D14)+$C$23*IF(D16="x",D15,D16))+$B$9)</f>
        <v>-0.99</v>
      </c>
      <c r="O36" s="8" t="s">
        <v>21</v>
      </c>
      <c r="P36" s="1">
        <f>IF(K15="x","N/A",$B$8*($C$21*IF(K14="x",K15,K14)+$C$22*IF(J15="x",K15,J15)+$C$23*IF(L15="x",K15,L15))+$B$9)</f>
        <v>-1.9</v>
      </c>
      <c r="Q36" s="1">
        <f>IF(K15="x","N/A",$B$8*($C$21*IF(L15="x",K15,L15)+$C$22*IF(K14="x",K15,K14)+$C$23*IF(K16="x",K15,K16))+$B$9)</f>
        <v>-1.3399999999999999</v>
      </c>
      <c r="R36" s="1">
        <f>IF(K15="x","N/A",$B$8*($C$21*IF(K16="x",K15,K16)+$C$22*IF(J15="x",K15,J15)+$C$23*IF(L15="x",K15,L15))+$B$9)</f>
        <v>-1.9</v>
      </c>
      <c r="S36" s="1">
        <f>IF(K15="x","N/A",$B$8*($C$21*IF(J15="x",K15,J15)+$C$22*IF(K14="x",K15,K14)+$C$23*IF(K16="x",K15,K16))+$B$9)</f>
        <v>-1.98</v>
      </c>
      <c r="V36" s="8" t="s">
        <v>21</v>
      </c>
      <c r="W36" s="1">
        <f>IF(R15="x","N/A",$B$8*($C$21*IF(R14="x",R15,R14)+$C$22*IF(Q15="x",R15,Q15)+$C$23*IF(S15="x",R15,S15))+$B$9)</f>
        <v>-2.2907999999999999</v>
      </c>
      <c r="X36" s="1">
        <f>IF(R15="x","N/A",$B$8*($C$21*IF(S15="x",R15,S15)+$C$22*IF(R14="x",R15,R14)+$C$23*IF(R16="x",R15,R16))+$B$9)</f>
        <v>-1.5044</v>
      </c>
      <c r="Y36" s="1">
        <f>IF(R15="x","N/A",$B$8*($C$21*IF(R16="x",R15,R16)+$C$22*IF(Q15="x",R15,Q15)+$C$23*IF(S15="x",R15,S15))+$B$9)</f>
        <v>-2.2907999999999999</v>
      </c>
      <c r="Z36" s="1">
        <f>IF(R15="x","N/A",$B$8*($C$21*IF(Q15="x",R15,Q15)+$C$22*IF(R14="x",R15,R14)+$C$23*IF(R16="x",R15,R16))+$B$9)</f>
        <v>-2.8419999999999996</v>
      </c>
      <c r="AC36" s="8" t="s">
        <v>21</v>
      </c>
      <c r="AD36" s="1">
        <f>IF(Y15="x","N/A",$B$8*($C$21*IF(Y14="x",Y15,Y14)+$C$22*IF(X15="x",Y15,X15)+$C$23*IF(Z15="x",Y15,Z15))+$B$9)</f>
        <v>-2.4748000000000001</v>
      </c>
      <c r="AE36" s="1">
        <f>IF(Y15="x","N/A",$B$8*($C$21*IF(Z15="x",Y15,Z15)+$C$22*IF(Y14="x",Y15,Y14)+$C$23*IF(Y16="x",Y15,Y16))+$B$9)</f>
        <v>-1.5747200000000001</v>
      </c>
      <c r="AF36" s="1">
        <f>IF(Y15="x","N/A",$B$8*($C$21*IF(Y16="x",Y15,Y16)+$C$22*IF(X15="x",Y15,X15)+$C$23*IF(Z15="x",Y15,Z15))+$B$9)</f>
        <v>-2.4748000000000001</v>
      </c>
      <c r="AG36" s="1">
        <f>IF(Y15="x","N/A",$B$8*($C$21*IF(X15="x",Y15,X15)+$C$22*IF(Y14="x",Y15,Y14)+$C$23*IF(Y16="x",Y15,Y16))+$B$9)</f>
        <v>-3.2572799999999997</v>
      </c>
      <c r="AJ36" s="8" t="s">
        <v>21</v>
      </c>
      <c r="AK36" s="1">
        <f>IF(AF15="x","N/A",$B$8*($C$21*IF(AF14="x",AF15,AF14)+$C$22*IF(AE15="x",AF15,AE15)+$C$23*IF(AG15="x",AF15,AG15))+$B$9)</f>
        <v>-2.5558800000000002</v>
      </c>
      <c r="AL36" s="1">
        <f>IF(AF15="x","N/A",$B$8*($C$21*IF(AG15="x",AF15,AG15)+$C$22*IF(AF14="x",AF15,AF14)+$C$23*IF(AF16="x",AF15,AF16))+$B$9)</f>
        <v>-1.60568</v>
      </c>
      <c r="AM36" s="1">
        <f>IF(AF15="x","N/A",$B$8*($C$21*IF(AF16="x",AF15,AF16)+$C$22*IF(AE15="x",AF15,AE15)+$C$23*IF(AG15="x",AF15,AG15))+$B$9)</f>
        <v>-2.5558800000000002</v>
      </c>
      <c r="AN36" s="1">
        <f>IF(AF15="x","N/A",$B$8*($C$21*IF(AE15="x",AF15,AE15)+$C$22*IF(AF14="x",AF15,AF14)+$C$23*IF(AF16="x",AF15,AF16))+$B$9)</f>
        <v>-3.4530399999999997</v>
      </c>
      <c r="AQ36" s="8" t="s">
        <v>21</v>
      </c>
      <c r="AR36" s="1">
        <f>IF(AM15="x","N/A",$B$8*($C$21*IF(AM14="x",AM15,AM14)+$C$22*IF(AL15="x",AM15,AL15)+$C$23*IF(AN15="x",AM15,AN15))+$B$9)</f>
        <v>-2.5917304000000003</v>
      </c>
      <c r="AS36" s="1">
        <f>IF(AM15="x","N/A",$B$8*($C$21*IF(AN15="x",AM15,AN15)+$C$22*IF(AM14="x",AM15,AM14)+$C$23*IF(AM16="x",AM15,AM16))+$B$9)</f>
        <v>-1.6191872</v>
      </c>
      <c r="AT36" s="1">
        <f>IF(AM15="x","N/A",$B$8*($C$21*IF(AM16="x",AM15,AM16)+$C$22*IF(AL15="x",AM15,AL15)+$C$23*IF(AN15="x",AM15,AN15))+$B$9)</f>
        <v>-2.5917304000000003</v>
      </c>
      <c r="AU36" s="1">
        <f>IF(AM15="x","N/A",$B$8*($C$21*IF(AL15="x",AM15,AL15)+$C$22*IF(AM14="x",AM15,AM14)+$C$23*IF(AM16="x",AM15,AM16))+$B$9)</f>
        <v>-3.5405760000000006</v>
      </c>
      <c r="AX36" s="8" t="s">
        <v>21</v>
      </c>
      <c r="AY36" s="1">
        <f>IF(AT15="x","N/A",$B$8*($C$21*IF(AT14="x",AT15,AT14)+$C$22*IF(AS15="x",AT15,AS15)+$C$23*IF(AU15="x",AT15,AU15))+$B$9)</f>
        <v>-2.6074476000000004</v>
      </c>
      <c r="AZ36" s="1">
        <f>IF(AT15="x","N/A",$B$8*($C$21*IF(AU15="x",AT15,AU15)+$C$22*IF(AT14="x",AT15,AT14)+$C$23*IF(AT16="x",AT15,AT16))+$B$9)</f>
        <v>-1.62509696</v>
      </c>
      <c r="BA36" s="1">
        <f>IF(AT15="x","N/A",$B$8*($C$21*IF(AT16="x",AT15,AT16)+$C$22*IF(AS15="x",AT15,AS15)+$C$23*IF(AU15="x",AT15,AU15))+$B$9)</f>
        <v>-2.6074476000000004</v>
      </c>
      <c r="BB36" s="1">
        <f>IF(AT15="x","N/A",$B$8*($C$21*IF(AS15="x",AT15,AS15)+$C$22*IF(AT14="x",AT15,AT14)+$C$23*IF(AT16="x",AT15,AT16))+$B$9)</f>
        <v>-3.57936064</v>
      </c>
      <c r="BE36" s="8" t="s">
        <v>21</v>
      </c>
      <c r="BF36" s="1">
        <f>IF(BA15="x","N/A",$B$8*($C$21*IF(BA14="x",BA15,BA14)+$C$22*IF(AZ15="x",BA15,AZ15)+$C$23*IF(BB15="x",BA15,BB15))+$B$9)</f>
        <v>-2.6143332400000001</v>
      </c>
      <c r="BG36" s="1">
        <f>IF(BA15="x","N/A",$B$8*($C$21*IF(BB15="x",BA15,BB15)+$C$22*IF(BA14="x",BA15,BA14)+$C$23*IF(BA16="x",BA15,BA16))+$B$9)</f>
        <v>-1.6276803200000001</v>
      </c>
      <c r="BH36" s="1">
        <f>IF(BA15="x","N/A",$B$8*($C$21*IF(BA16="x",BA15,BA16)+$C$22*IF(AZ15="x",BA15,AZ15)+$C$23*IF(BB15="x",BA15,BB15))+$B$9)</f>
        <v>-2.6143332400000001</v>
      </c>
      <c r="BI36" s="1">
        <f>IF(BA15="x","N/A",$B$8*($C$21*IF(AZ15="x",BA15,AZ15)+$C$22*IF(BA14="x",BA15,BA14)+$C$23*IF(BA16="x",BA15,BA16))+$B$9)</f>
        <v>-3.5964038399999998</v>
      </c>
      <c r="BL36" s="8" t="s">
        <v>21</v>
      </c>
      <c r="BM36" s="1">
        <f>IF(BH15="x","N/A",$B$8*($C$21*IF(BH14="x",BH15,BH14)+$C$22*IF(BG15="x",BH15,BG15)+$C$23*IF(BI15="x",BH15,BI15))+$B$9)</f>
        <v>-2.6173458552</v>
      </c>
      <c r="BN36" s="1">
        <f>IF(BH15="x","N/A",$B$8*($C$21*IF(BI15="x",BH15,BI15)+$C$22*IF(BH14="x",BH15,BH14)+$C$23*IF(BH16="x",BH15,BH16))+$B$9)</f>
        <v>-1.6288099136</v>
      </c>
      <c r="BO36" s="1">
        <f>IF(BH15="x","N/A",$B$8*($C$21*IF(BH16="x",BH15,BH16)+$C$22*IF(BG15="x",BH15,BG15)+$C$23*IF(BI15="x",BH15,BI15))+$B$9)</f>
        <v>-2.6173458552</v>
      </c>
      <c r="BP36" s="1">
        <f>IF(BH15="x","N/A",$B$8*($C$21*IF(BG15="x",BH15,BG15)+$C$22*IF(BH14="x",BH15,BH14)+$C$23*IF(BH16="x",BH15,BH16))+$B$9)</f>
        <v>-3.6038750080000002</v>
      </c>
      <c r="BS36" s="8" t="s">
        <v>21</v>
      </c>
      <c r="BT36" s="1">
        <f>IF(BO15="x","N/A",$B$8*($C$21*IF(BO14="x",BO15,BO14)+$C$22*IF(BN15="x",BO15,BN15)+$C$23*IF(BP15="x",BO15,BP15))+$B$9)</f>
        <v>-2.6186635564</v>
      </c>
      <c r="BU36" s="1">
        <f>IF(BO15="x","N/A",$B$8*($C$21*IF(BP15="x",BO15,BP15)+$C$22*IF(BO14="x",BO15,BO14)+$C$23*IF(BO16="x",BO15,BO16))+$B$9)</f>
        <v>-1.6293037932800001</v>
      </c>
      <c r="BV36" s="1">
        <f>IF(BO15="x","N/A",$B$8*($C$21*IF(BO16="x",BO15,BO16)+$C$22*IF(BN15="x",BO15,BN15)+$C$23*IF(BP15="x",BO15,BP15))+$B$9)</f>
        <v>-2.6186635564</v>
      </c>
      <c r="BW36" s="1">
        <f>IF(BO15="x","N/A",$B$8*($C$21*IF(BN15="x",BO15,BN15)+$C$22*IF(BO14="x",BO15,BO14)+$C$23*IF(BO16="x",BO15,BO16))+$B$9)</f>
        <v>-3.6071451763200004</v>
      </c>
      <c r="BZ36" s="8" t="s">
        <v>21</v>
      </c>
      <c r="CA36" s="1">
        <f>IF(BV15="x","N/A",$B$8*($C$21*IF(BV14="x",BV15,BV14)+$C$22*IF(BU15="x",BV15,BU15)+$C$23*IF(BW15="x",BV15,BW15))+$B$9)</f>
        <v>-2.61923977932</v>
      </c>
      <c r="CB36" s="1">
        <f>IF(BV15="x","N/A",$B$8*($C$21*IF(BW15="x",BV15,BW15)+$C$22*IF(BV14="x",BV15,BV14)+$C$23*IF(BV16="x",BV15,BV16))+$B$9)</f>
        <v>-1.6295197328</v>
      </c>
      <c r="CC36" s="1">
        <f>IF(BV15="x","N/A",$B$8*($C$21*IF(BV16="x",BV15,BV16)+$C$22*IF(BU15="x",BV15,BU15)+$C$23*IF(BW15="x",BV15,BW15))+$B$9)</f>
        <v>-2.61923977932</v>
      </c>
      <c r="CD36" s="1">
        <f>IF(BV15="x","N/A",$B$8*($C$21*IF(BU15="x",BV15,BU15)+$C$22*IF(BV14="x",BV15,BV14)+$C$23*IF(BV16="x",BV15,BV16))+$B$9)</f>
        <v>-3.6085757420799993</v>
      </c>
      <c r="CG36" s="8" t="s">
        <v>21</v>
      </c>
      <c r="CH36" s="1">
        <f>IF(CC15="x","N/A",$B$8*($C$21*IF(CC14="x",CC15,CC14)+$C$22*IF(CB15="x",CC15,CB15)+$C$23*IF(CD15="x",CC15,CD15))+$B$9)</f>
        <v>-2.6194917393976</v>
      </c>
      <c r="CI36" s="1">
        <f>IF(CC15="x","N/A",$B$8*($C$21*IF(CD15="x",CC15,CD15)+$C$22*IF(CC14="x",CC15,CC14)+$C$23*IF(CC16="x",CC15,CC16))+$B$9)</f>
        <v>-1.6296141474368</v>
      </c>
      <c r="CJ36" s="1">
        <f>IF(CC15="x","N/A",$B$8*($C$21*IF(CC16="x",CC15,CC16)+$C$22*IF(CB15="x",CC15,CB15)+$C$23*IF(CD15="x",CC15,CD15))+$B$9)</f>
        <v>-2.6194917393976</v>
      </c>
      <c r="CK36" s="1">
        <f>IF(CC15="x","N/A",$B$8*($C$21*IF(CB15="x",CC15,CB15)+$C$22*IF(CC14="x",CC15,CC14)+$C$23*IF(CC16="x",CC15,CC16))+$B$9)</f>
        <v>-3.6092013709440005</v>
      </c>
      <c r="CN36" s="8" t="s">
        <v>21</v>
      </c>
      <c r="CO36" s="1">
        <f>IF(CJ15="x","N/A",$B$8*($C$21*IF(CJ14="x",CJ15,CJ14)+$C$22*IF(CI15="x",CJ15,CI15)+$C$23*IF(CK15="x",CJ15,CK15))+$B$9)</f>
        <v>-2.619601907022</v>
      </c>
      <c r="CP36" s="1">
        <f>IF(CJ15="x","N/A",$B$8*($C$21*IF(CK15="x",CJ15,CK15)+$C$22*IF(CJ14="x",CJ15,CJ14)+$C$23*IF(CJ16="x",CJ15,CJ16))+$B$9)</f>
        <v>-1.6296554281990399</v>
      </c>
      <c r="CQ36" s="1">
        <f>IF(CJ15="x","N/A",$B$8*($C$21*IF(CJ16="x",CJ15,CJ16)+$C$22*IF(CI15="x",CJ15,CI15)+$C$23*IF(CK15="x",CJ15,CK15))+$B$9)</f>
        <v>-2.619601907022</v>
      </c>
      <c r="CR36" s="1">
        <f>IF(CJ15="x","N/A",$B$8*($C$21*IF(CI15="x",CJ15,CI15)+$C$22*IF(CJ14="x",CJ15,CJ14)+$C$23*IF(CJ16="x",CJ15,CJ16))+$B$9)</f>
        <v>-3.6094749433561599</v>
      </c>
      <c r="CU36" s="8" t="s">
        <v>21</v>
      </c>
      <c r="CV36" s="1">
        <f>IF(CQ15="x","N/A",$B$8*($C$21*IF(CQ14="x",CQ15,CQ14)+$C$22*IF(CP15="x",CQ15,CP15)+$C$23*IF(CR15="x",CQ15,CR15))+$B$9)</f>
        <v>-2.6196500761591599</v>
      </c>
      <c r="CW36" s="1">
        <f>IF(CQ15="x","N/A",$B$8*($C$21*IF(CR15="x",CQ15,CR15)+$C$22*IF(CQ14="x",CQ15,CQ14)+$C$23*IF(CQ16="x",CQ15,CQ16))+$B$9)</f>
        <v>-1.62967347730592</v>
      </c>
      <c r="CX36" s="1">
        <f>IF(CQ15="x","N/A",$B$8*($C$21*IF(CQ16="x",CQ15,CQ16)+$C$22*IF(CP15="x",CQ15,CP15)+$C$23*IF(CR15="x",CQ15,CR15))+$B$9)</f>
        <v>-2.6196500761591599</v>
      </c>
      <c r="CY36" s="1">
        <f>IF(CQ15="x","N/A",$B$8*($C$21*IF(CP15="x",CQ15,CP15)+$C$22*IF(CQ14="x",CQ15,CQ14)+$C$23*IF(CQ16="x",CQ15,CQ16))+$B$9)</f>
        <v>-3.6095945627731201</v>
      </c>
      <c r="DB36" s="8" t="s">
        <v>21</v>
      </c>
      <c r="DC36" s="1">
        <f>IF(CX15="x","N/A",$B$8*($C$21*IF(CX14="x",CX15,CX14)+$C$22*IF(CW15="x",CX15,CW15)+$C$23*IF(CY15="x",CX15,CY15))+$B$9)</f>
        <v>-2.6196711372068089</v>
      </c>
      <c r="DD36" s="1">
        <f>IF(CX15="x","N/A",$B$8*($C$21*IF(CY15="x",CX15,CY15)+$C$22*IF(CX14="x",CX15,CX14)+$C$23*IF(CX16="x",CX15,CX16))+$B$9)</f>
        <v>-1.6296813688837184</v>
      </c>
      <c r="DE36" s="1">
        <f>IF(CX15="x","N/A",$B$8*($C$21*IF(CX16="x",CX15,CX16)+$C$22*IF(CW15="x",CX15,CW15)+$C$23*IF(CY15="x",CX15,CY15))+$B$9)</f>
        <v>-2.6196711372068089</v>
      </c>
      <c r="DF36" s="1">
        <f>IF(CX15="x","N/A",$B$8*($C$21*IF(CW15="x",CX15,CW15)+$C$22*IF(CX14="x",CX15,CX14)+$C$23*IF(CX16="x",CX15,CX16))+$B$9)</f>
        <v>-3.6096468649352325</v>
      </c>
    </row>
    <row r="37" spans="8:110" x14ac:dyDescent="0.25">
      <c r="H37" s="8" t="s">
        <v>22</v>
      </c>
      <c r="I37" s="1" t="str">
        <f>IF(D16="x","N/A",$B$8*($C$21*IF(D15="x",D16,D15)+$C$22*IF(C16="x",D16,C16)+$C$23*IF(E16="x",D16,E16))+$B$9)</f>
        <v>N/A</v>
      </c>
      <c r="J37" s="1" t="str">
        <f>IF(D16="x","N/A",$B$8*($C$21*IF(E16="x",D16,E16)+$C$22*IF(D15="x",D16,D15)+$C$23*IF(D17="x",D16,D17))+$B$9)</f>
        <v>N/A</v>
      </c>
      <c r="K37" s="1" t="str">
        <f>IF(D16="x","N/A",$B$8*($C$21*IF(D17="x",D16,D17)+$C$22*IF(C16="x",D16,C16)+$C$23*IF(E16="x",D16,E16))+$B$9)</f>
        <v>N/A</v>
      </c>
      <c r="L37" s="1" t="str">
        <f>IF(D16="x","N/A",$B$8*($C$21*IF(C16="x",D16,C16)+$C$22*IF(D15="x",D16,D15)+$C$23*IF(D17="x",D16,D17))+$B$9)</f>
        <v>N/A</v>
      </c>
      <c r="O37" s="8" t="s">
        <v>22</v>
      </c>
      <c r="P37" s="1" t="str">
        <f>IF(K16="x","N/A",$B$8*($C$21*IF(K15="x",K16,K15)+$C$22*IF(J16="x",K16,J16)+$C$23*IF(L16="x",K16,L16))+$B$9)</f>
        <v>N/A</v>
      </c>
      <c r="Q37" s="1" t="str">
        <f>IF(K16="x","N/A",$B$8*($C$21*IF(L16="x",K16,L16)+$C$22*IF(K15="x",K16,K15)+$C$23*IF(K17="x",K16,K17))+$B$9)</f>
        <v>N/A</v>
      </c>
      <c r="R37" s="1" t="str">
        <f>IF(K16="x","N/A",$B$8*($C$21*IF(K17="x",K16,K17)+$C$22*IF(J16="x",K16,J16)+$C$23*IF(L16="x",K16,L16))+$B$9)</f>
        <v>N/A</v>
      </c>
      <c r="S37" s="1" t="str">
        <f>IF(K16="x","N/A",$B$8*($C$21*IF(J16="x",K16,J16)+$C$22*IF(K15="x",K16,K15)+$C$23*IF(K17="x",K16,K17))+$B$9)</f>
        <v>N/A</v>
      </c>
      <c r="V37" s="8" t="s">
        <v>22</v>
      </c>
      <c r="W37" s="1" t="str">
        <f>IF(R16="x","N/A",$B$8*($C$21*IF(R15="x",R16,R15)+$C$22*IF(Q16="x",R16,Q16)+$C$23*IF(S16="x",R16,S16))+$B$9)</f>
        <v>N/A</v>
      </c>
      <c r="X37" s="1" t="str">
        <f>IF(R16="x","N/A",$B$8*($C$21*IF(S16="x",R16,S16)+$C$22*IF(R15="x",R16,R15)+$C$23*IF(R17="x",R16,R17))+$B$9)</f>
        <v>N/A</v>
      </c>
      <c r="Y37" s="1" t="str">
        <f>IF(R16="x","N/A",$B$8*($C$21*IF(R17="x",R16,R17)+$C$22*IF(Q16="x",R16,Q16)+$C$23*IF(S16="x",R16,S16))+$B$9)</f>
        <v>N/A</v>
      </c>
      <c r="Z37" s="1" t="str">
        <f>IF(R16="x","N/A",$B$8*($C$21*IF(Q16="x",R16,Q16)+$C$22*IF(R15="x",R16,R15)+$C$23*IF(R17="x",R16,R17))+$B$9)</f>
        <v>N/A</v>
      </c>
      <c r="AC37" s="8" t="s">
        <v>22</v>
      </c>
      <c r="AD37" s="1" t="str">
        <f>IF(Y16="x","N/A",$B$8*($C$21*IF(Y15="x",Y16,Y15)+$C$22*IF(X16="x",Y16,X16)+$C$23*IF(Z16="x",Y16,Z16))+$B$9)</f>
        <v>N/A</v>
      </c>
      <c r="AE37" s="1" t="str">
        <f>IF(Y16="x","N/A",$B$8*($C$21*IF(Z16="x",Y16,Z16)+$C$22*IF(Y15="x",Y16,Y15)+$C$23*IF(Y17="x",Y16,Y17))+$B$9)</f>
        <v>N/A</v>
      </c>
      <c r="AF37" s="1" t="str">
        <f>IF(Y16="x","N/A",$B$8*($C$21*IF(Y17="x",Y16,Y17)+$C$22*IF(X16="x",Y16,X16)+$C$23*IF(Z16="x",Y16,Z16))+$B$9)</f>
        <v>N/A</v>
      </c>
      <c r="AG37" s="1" t="str">
        <f>IF(Y16="x","N/A",$B$8*($C$21*IF(X16="x",Y16,X16)+$C$22*IF(Y15="x",Y16,Y15)+$C$23*IF(Y17="x",Y16,Y17))+$B$9)</f>
        <v>N/A</v>
      </c>
      <c r="AJ37" s="8" t="s">
        <v>22</v>
      </c>
      <c r="AK37" s="1" t="str">
        <f>IF(AF16="x","N/A",$B$8*($C$21*IF(AF15="x",AF16,AF15)+$C$22*IF(AE16="x",AF16,AE16)+$C$23*IF(AG16="x",AF16,AG16))+$B$9)</f>
        <v>N/A</v>
      </c>
      <c r="AL37" s="1" t="str">
        <f>IF(AF16="x","N/A",$B$8*($C$21*IF(AG16="x",AF16,AG16)+$C$22*IF(AF15="x",AF16,AF15)+$C$23*IF(AF17="x",AF16,AF17))+$B$9)</f>
        <v>N/A</v>
      </c>
      <c r="AM37" s="1" t="str">
        <f>IF(AF16="x","N/A",$B$8*($C$21*IF(AF17="x",AF16,AF17)+$C$22*IF(AE16="x",AF16,AE16)+$C$23*IF(AG16="x",AF16,AG16))+$B$9)</f>
        <v>N/A</v>
      </c>
      <c r="AN37" s="1" t="str">
        <f>IF(AF16="x","N/A",$B$8*($C$21*IF(AE16="x",AF16,AE16)+$C$22*IF(AF15="x",AF16,AF15)+$C$23*IF(AF17="x",AF16,AF17))+$B$9)</f>
        <v>N/A</v>
      </c>
      <c r="AQ37" s="8" t="s">
        <v>22</v>
      </c>
      <c r="AR37" s="1" t="str">
        <f>IF(AM16="x","N/A",$B$8*($C$21*IF(AM15="x",AM16,AM15)+$C$22*IF(AL16="x",AM16,AL16)+$C$23*IF(AN16="x",AM16,AN16))+$B$9)</f>
        <v>N/A</v>
      </c>
      <c r="AS37" s="1" t="str">
        <f>IF(AM16="x","N/A",$B$8*($C$21*IF(AN16="x",AM16,AN16)+$C$22*IF(AM15="x",AM16,AM15)+$C$23*IF(AM17="x",AM16,AM17))+$B$9)</f>
        <v>N/A</v>
      </c>
      <c r="AT37" s="1" t="str">
        <f>IF(AM16="x","N/A",$B$8*($C$21*IF(AM17="x",AM16,AM17)+$C$22*IF(AL16="x",AM16,AL16)+$C$23*IF(AN16="x",AM16,AN16))+$B$9)</f>
        <v>N/A</v>
      </c>
      <c r="AU37" s="1" t="str">
        <f>IF(AM16="x","N/A",$B$8*($C$21*IF(AL16="x",AM16,AL16)+$C$22*IF(AM15="x",AM16,AM15)+$C$23*IF(AM17="x",AM16,AM17))+$B$9)</f>
        <v>N/A</v>
      </c>
      <c r="AX37" s="8" t="s">
        <v>22</v>
      </c>
      <c r="AY37" s="1" t="str">
        <f>IF(AT16="x","N/A",$B$8*($C$21*IF(AT15="x",AT16,AT15)+$C$22*IF(AS16="x",AT16,AS16)+$C$23*IF(AU16="x",AT16,AU16))+$B$9)</f>
        <v>N/A</v>
      </c>
      <c r="AZ37" s="1" t="str">
        <f>IF(AT16="x","N/A",$B$8*($C$21*IF(AU16="x",AT16,AU16)+$C$22*IF(AT15="x",AT16,AT15)+$C$23*IF(AT17="x",AT16,AT17))+$B$9)</f>
        <v>N/A</v>
      </c>
      <c r="BA37" s="1" t="str">
        <f>IF(AT16="x","N/A",$B$8*($C$21*IF(AT17="x",AT16,AT17)+$C$22*IF(AS16="x",AT16,AS16)+$C$23*IF(AU16="x",AT16,AU16))+$B$9)</f>
        <v>N/A</v>
      </c>
      <c r="BB37" s="1" t="str">
        <f>IF(AT16="x","N/A",$B$8*($C$21*IF(AS16="x",AT16,AS16)+$C$22*IF(AT15="x",AT16,AT15)+$C$23*IF(AT17="x",AT16,AT17))+$B$9)</f>
        <v>N/A</v>
      </c>
      <c r="BE37" s="8" t="s">
        <v>22</v>
      </c>
      <c r="BF37" s="1" t="str">
        <f>IF(BA16="x","N/A",$B$8*($C$21*IF(BA15="x",BA16,BA15)+$C$22*IF(AZ16="x",BA16,AZ16)+$C$23*IF(BB16="x",BA16,BB16))+$B$9)</f>
        <v>N/A</v>
      </c>
      <c r="BG37" s="1" t="str">
        <f>IF(BA16="x","N/A",$B$8*($C$21*IF(BB16="x",BA16,BB16)+$C$22*IF(BA15="x",BA16,BA15)+$C$23*IF(BA17="x",BA16,BA17))+$B$9)</f>
        <v>N/A</v>
      </c>
      <c r="BH37" s="1" t="str">
        <f>IF(BA16="x","N/A",$B$8*($C$21*IF(BA17="x",BA16,BA17)+$C$22*IF(AZ16="x",BA16,AZ16)+$C$23*IF(BB16="x",BA16,BB16))+$B$9)</f>
        <v>N/A</v>
      </c>
      <c r="BI37" s="1" t="str">
        <f>IF(BA16="x","N/A",$B$8*($C$21*IF(AZ16="x",BA16,AZ16)+$C$22*IF(BA15="x",BA16,BA15)+$C$23*IF(BA17="x",BA16,BA17))+$B$9)</f>
        <v>N/A</v>
      </c>
      <c r="BL37" s="8" t="s">
        <v>22</v>
      </c>
      <c r="BM37" s="1" t="str">
        <f>IF(BH16="x","N/A",$B$8*($C$21*IF(BH15="x",BH16,BH15)+$C$22*IF(BG16="x",BH16,BG16)+$C$23*IF(BI16="x",BH16,BI16))+$B$9)</f>
        <v>N/A</v>
      </c>
      <c r="BN37" s="1" t="str">
        <f>IF(BH16="x","N/A",$B$8*($C$21*IF(BI16="x",BH16,BI16)+$C$22*IF(BH15="x",BH16,BH15)+$C$23*IF(BH17="x",BH16,BH17))+$B$9)</f>
        <v>N/A</v>
      </c>
      <c r="BO37" s="1" t="str">
        <f>IF(BH16="x","N/A",$B$8*($C$21*IF(BH17="x",BH16,BH17)+$C$22*IF(BG16="x",BH16,BG16)+$C$23*IF(BI16="x",BH16,BI16))+$B$9)</f>
        <v>N/A</v>
      </c>
      <c r="BP37" s="1" t="str">
        <f>IF(BH16="x","N/A",$B$8*($C$21*IF(BG16="x",BH16,BG16)+$C$22*IF(BH15="x",BH16,BH15)+$C$23*IF(BH17="x",BH16,BH17))+$B$9)</f>
        <v>N/A</v>
      </c>
      <c r="BS37" s="8" t="s">
        <v>22</v>
      </c>
      <c r="BT37" s="1" t="str">
        <f>IF(BO16="x","N/A",$B$8*($C$21*IF(BO15="x",BO16,BO15)+$C$22*IF(BN16="x",BO16,BN16)+$C$23*IF(BP16="x",BO16,BP16))+$B$9)</f>
        <v>N/A</v>
      </c>
      <c r="BU37" s="1" t="str">
        <f>IF(BO16="x","N/A",$B$8*($C$21*IF(BP16="x",BO16,BP16)+$C$22*IF(BO15="x",BO16,BO15)+$C$23*IF(BO17="x",BO16,BO17))+$B$9)</f>
        <v>N/A</v>
      </c>
      <c r="BV37" s="1" t="str">
        <f>IF(BO16="x","N/A",$B$8*($C$21*IF(BO17="x",BO16,BO17)+$C$22*IF(BN16="x",BO16,BN16)+$C$23*IF(BP16="x",BO16,BP16))+$B$9)</f>
        <v>N/A</v>
      </c>
      <c r="BW37" s="1" t="str">
        <f>IF(BO16="x","N/A",$B$8*($C$21*IF(BN16="x",BO16,BN16)+$C$22*IF(BO15="x",BO16,BO15)+$C$23*IF(BO17="x",BO16,BO17))+$B$9)</f>
        <v>N/A</v>
      </c>
      <c r="BZ37" s="8" t="s">
        <v>22</v>
      </c>
      <c r="CA37" s="1" t="str">
        <f>IF(BV16="x","N/A",$B$8*($C$21*IF(BV15="x",BV16,BV15)+$C$22*IF(BU16="x",BV16,BU16)+$C$23*IF(BW16="x",BV16,BW16))+$B$9)</f>
        <v>N/A</v>
      </c>
      <c r="CB37" s="1" t="str">
        <f>IF(BV16="x","N/A",$B$8*($C$21*IF(BW16="x",BV16,BW16)+$C$22*IF(BV15="x",BV16,BV15)+$C$23*IF(BV17="x",BV16,BV17))+$B$9)</f>
        <v>N/A</v>
      </c>
      <c r="CC37" s="1" t="str">
        <f>IF(BV16="x","N/A",$B$8*($C$21*IF(BV17="x",BV16,BV17)+$C$22*IF(BU16="x",BV16,BU16)+$C$23*IF(BW16="x",BV16,BW16))+$B$9)</f>
        <v>N/A</v>
      </c>
      <c r="CD37" s="1" t="str">
        <f>IF(BV16="x","N/A",$B$8*($C$21*IF(BU16="x",BV16,BU16)+$C$22*IF(BV15="x",BV16,BV15)+$C$23*IF(BV17="x",BV16,BV17))+$B$9)</f>
        <v>N/A</v>
      </c>
      <c r="CG37" s="8" t="s">
        <v>22</v>
      </c>
      <c r="CH37" s="1" t="str">
        <f>IF(CC16="x","N/A",$B$8*($C$21*IF(CC15="x",CC16,CC15)+$C$22*IF(CB16="x",CC16,CB16)+$C$23*IF(CD16="x",CC16,CD16))+$B$9)</f>
        <v>N/A</v>
      </c>
      <c r="CI37" s="1" t="str">
        <f>IF(CC16="x","N/A",$B$8*($C$21*IF(CD16="x",CC16,CD16)+$C$22*IF(CC15="x",CC16,CC15)+$C$23*IF(CC17="x",CC16,CC17))+$B$9)</f>
        <v>N/A</v>
      </c>
      <c r="CJ37" s="1" t="str">
        <f>IF(CC16="x","N/A",$B$8*($C$21*IF(CC17="x",CC16,CC17)+$C$22*IF(CB16="x",CC16,CB16)+$C$23*IF(CD16="x",CC16,CD16))+$B$9)</f>
        <v>N/A</v>
      </c>
      <c r="CK37" s="1" t="str">
        <f>IF(CC16="x","N/A",$B$8*($C$21*IF(CB16="x",CC16,CB16)+$C$22*IF(CC15="x",CC16,CC15)+$C$23*IF(CC17="x",CC16,CC17))+$B$9)</f>
        <v>N/A</v>
      </c>
      <c r="CN37" s="8" t="s">
        <v>22</v>
      </c>
      <c r="CO37" s="1" t="str">
        <f>IF(CJ16="x","N/A",$B$8*($C$21*IF(CJ15="x",CJ16,CJ15)+$C$22*IF(CI16="x",CJ16,CI16)+$C$23*IF(CK16="x",CJ16,CK16))+$B$9)</f>
        <v>N/A</v>
      </c>
      <c r="CP37" s="1" t="str">
        <f>IF(CJ16="x","N/A",$B$8*($C$21*IF(CK16="x",CJ16,CK16)+$C$22*IF(CJ15="x",CJ16,CJ15)+$C$23*IF(CJ17="x",CJ16,CJ17))+$B$9)</f>
        <v>N/A</v>
      </c>
      <c r="CQ37" s="1" t="str">
        <f>IF(CJ16="x","N/A",$B$8*($C$21*IF(CJ17="x",CJ16,CJ17)+$C$22*IF(CI16="x",CJ16,CI16)+$C$23*IF(CK16="x",CJ16,CK16))+$B$9)</f>
        <v>N/A</v>
      </c>
      <c r="CR37" s="1" t="str">
        <f>IF(CJ16="x","N/A",$B$8*($C$21*IF(CI16="x",CJ16,CI16)+$C$22*IF(CJ15="x",CJ16,CJ15)+$C$23*IF(CJ17="x",CJ16,CJ17))+$B$9)</f>
        <v>N/A</v>
      </c>
      <c r="CU37" s="8" t="s">
        <v>22</v>
      </c>
      <c r="CV37" s="1" t="str">
        <f>IF(CQ16="x","N/A",$B$8*($C$21*IF(CQ15="x",CQ16,CQ15)+$C$22*IF(CP16="x",CQ16,CP16)+$C$23*IF(CR16="x",CQ16,CR16))+$B$9)</f>
        <v>N/A</v>
      </c>
      <c r="CW37" s="1" t="str">
        <f>IF(CQ16="x","N/A",$B$8*($C$21*IF(CR16="x",CQ16,CR16)+$C$22*IF(CQ15="x",CQ16,CQ15)+$C$23*IF(CQ17="x",CQ16,CQ17))+$B$9)</f>
        <v>N/A</v>
      </c>
      <c r="CX37" s="1" t="str">
        <f>IF(CQ16="x","N/A",$B$8*($C$21*IF(CQ17="x",CQ16,CQ17)+$C$22*IF(CP16="x",CQ16,CP16)+$C$23*IF(CR16="x",CQ16,CR16))+$B$9)</f>
        <v>N/A</v>
      </c>
      <c r="CY37" s="1" t="str">
        <f>IF(CQ16="x","N/A",$B$8*($C$21*IF(CP16="x",CQ16,CP16)+$C$22*IF(CQ15="x",CQ16,CQ15)+$C$23*IF(CQ17="x",CQ16,CQ17))+$B$9)</f>
        <v>N/A</v>
      </c>
      <c r="DB37" s="8" t="s">
        <v>22</v>
      </c>
      <c r="DC37" s="1" t="str">
        <f>IF(CX16="x","N/A",$B$8*($C$21*IF(CX15="x",CX16,CX15)+$C$22*IF(CW16="x",CX16,CW16)+$C$23*IF(CY16="x",CX16,CY16))+$B$9)</f>
        <v>N/A</v>
      </c>
      <c r="DD37" s="1" t="str">
        <f>IF(CX16="x","N/A",$B$8*($C$21*IF(CY16="x",CX16,CY16)+$C$22*IF(CX15="x",CX16,CX15)+$C$23*IF(CX17="x",CX16,CX17))+$B$9)</f>
        <v>N/A</v>
      </c>
      <c r="DE37" s="1" t="str">
        <f>IF(CX16="x","N/A",$B$8*($C$21*IF(CX17="x",CX16,CX17)+$C$22*IF(CW16="x",CX16,CW16)+$C$23*IF(CY16="x",CX16,CY16))+$B$9)</f>
        <v>N/A</v>
      </c>
      <c r="DF37" s="1" t="str">
        <f>IF(CX16="x","N/A",$B$8*($C$21*IF(CW16="x",CX16,CW16)+$C$22*IF(CX15="x",CX16,CX15)+$C$23*IF(CX17="x",CX16,CX17))+$B$9)</f>
        <v>N/A</v>
      </c>
    </row>
    <row r="38" spans="8:110" x14ac:dyDescent="0.25">
      <c r="H38" s="8" t="s">
        <v>23</v>
      </c>
      <c r="I38" s="1">
        <f>IF(D17="x","N/A",$B$8*($C$21*IF(D16="x",D17,D16)+$C$22*IF(C17="x",D17,C17)+$C$23*IF(E17="x",D17,E17))+$B$9)</f>
        <v>-0.99</v>
      </c>
      <c r="J38" s="1">
        <f>IF(D17="x","N/A",$B$8*($C$21*IF(E17="x",D17,E17)+$C$22*IF(D16="x",D17,D16)+$C$23*IF(D18="x",D17,D18))+$B$9)</f>
        <v>-0.99</v>
      </c>
      <c r="K38" s="1">
        <f>IF(D17="x","N/A",$B$8*($C$21*IF(D18="x",D17,D18)+$C$22*IF(C17="x",D17,C17)+$C$23*IF(E17="x",D17,E17))+$B$9)</f>
        <v>-0.99</v>
      </c>
      <c r="L38" s="1">
        <f>IF(D17="x","N/A",$B$8*($C$21*IF(C17="x",D17,C17)+$C$22*IF(D16="x",D17,D16)+$C$23*IF(D18="x",D17,D18))+$B$9)</f>
        <v>-0.99</v>
      </c>
      <c r="O38" s="8" t="s">
        <v>23</v>
      </c>
      <c r="P38" s="1">
        <f>IF(K17="x","N/A",$B$8*($C$21*IF(K16="x",K17,K16)+$C$22*IF(J17="x",K17,J17)+$C$23*IF(L17="x",K17,L17))+$B$9)</f>
        <v>-1.98</v>
      </c>
      <c r="Q38" s="1">
        <f>IF(K17="x","N/A",$B$8*($C$21*IF(L17="x",K17,L17)+$C$22*IF(K16="x",K17,K16)+$C$23*IF(K18="x",K17,K18))+$B$9)</f>
        <v>-1.98</v>
      </c>
      <c r="R38" s="1">
        <f>IF(K17="x","N/A",$B$8*($C$21*IF(K18="x",K17,K18)+$C$22*IF(J17="x",K17,J17)+$C$23*IF(L17="x",K17,L17))+$B$9)</f>
        <v>-1.98</v>
      </c>
      <c r="S38" s="1">
        <f>IF(K17="x","N/A",$B$8*($C$21*IF(J17="x",K17,J17)+$C$22*IF(K16="x",K17,K16)+$C$23*IF(K18="x",K17,K18))+$B$9)</f>
        <v>-1.98</v>
      </c>
      <c r="V38" s="8" t="s">
        <v>23</v>
      </c>
      <c r="W38" s="1">
        <f>IF(R17="x","N/A",$B$8*($C$21*IF(R16="x",R17,R16)+$C$22*IF(Q17="x",R17,Q17)+$C$23*IF(S17="x",R17,S17))+$B$9)</f>
        <v>-2.9699999999999998</v>
      </c>
      <c r="X38" s="1">
        <f>IF(R17="x","N/A",$B$8*($C$21*IF(S17="x",R17,S17)+$C$22*IF(R16="x",R17,R16)+$C$23*IF(R18="x",R17,R18))+$B$9)</f>
        <v>-2.9699999999999998</v>
      </c>
      <c r="Y38" s="1">
        <f>IF(R17="x","N/A",$B$8*($C$21*IF(R18="x",R17,R18)+$C$22*IF(Q17="x",R17,Q17)+$C$23*IF(S17="x",R17,S17))+$B$9)</f>
        <v>-2.9699999999999998</v>
      </c>
      <c r="Z38" s="1">
        <f>IF(R17="x","N/A",$B$8*($C$21*IF(Q17="x",R17,Q17)+$C$22*IF(R16="x",R17,R16)+$C$23*IF(R18="x",R17,R18))+$B$9)</f>
        <v>-2.9699999999999998</v>
      </c>
      <c r="AC38" s="8" t="s">
        <v>23</v>
      </c>
      <c r="AD38" s="1">
        <f>IF(Y17="x","N/A",$B$8*($C$21*IF(Y16="x",Y17,Y16)+$C$22*IF(X17="x",Y17,X17)+$C$23*IF(Z17="x",Y17,Z17))+$B$9)</f>
        <v>-3.96</v>
      </c>
      <c r="AE38" s="1">
        <f>IF(Y17="x","N/A",$B$8*($C$21*IF(Z17="x",Y17,Z17)+$C$22*IF(Y16="x",Y17,Y16)+$C$23*IF(Y18="x",Y17,Y18))+$B$9)</f>
        <v>-3.96</v>
      </c>
      <c r="AF38" s="1">
        <f>IF(Y17="x","N/A",$B$8*($C$21*IF(Y18="x",Y17,Y18)+$C$22*IF(X17="x",Y17,X17)+$C$23*IF(Z17="x",Y17,Z17))+$B$9)</f>
        <v>-3.96</v>
      </c>
      <c r="AG38" s="1">
        <f>IF(Y17="x","N/A",$B$8*($C$21*IF(X17="x",Y17,X17)+$C$22*IF(Y16="x",Y17,Y16)+$C$23*IF(Y18="x",Y17,Y18))+$B$9)</f>
        <v>-3.96</v>
      </c>
      <c r="AJ38" s="8" t="s">
        <v>23</v>
      </c>
      <c r="AK38" s="1">
        <f>IF(AF17="x","N/A",$B$8*($C$21*IF(AF16="x",AF17,AF16)+$C$22*IF(AE17="x",AF17,AE17)+$C$23*IF(AG17="x",AF17,AG17))+$B$9)</f>
        <v>-4.95</v>
      </c>
      <c r="AL38" s="1">
        <f>IF(AF17="x","N/A",$B$8*($C$21*IF(AG17="x",AF17,AG17)+$C$22*IF(AF16="x",AF17,AF16)+$C$23*IF(AF18="x",AF17,AF18))+$B$9)</f>
        <v>-4.95</v>
      </c>
      <c r="AM38" s="1">
        <f>IF(AF17="x","N/A",$B$8*($C$21*IF(AF18="x",AF17,AF18)+$C$22*IF(AE17="x",AF17,AE17)+$C$23*IF(AG17="x",AF17,AG17))+$B$9)</f>
        <v>-4.95</v>
      </c>
      <c r="AN38" s="1">
        <f>IF(AF17="x","N/A",$B$8*($C$21*IF(AE17="x",AF17,AE17)+$C$22*IF(AF16="x",AF17,AF16)+$C$23*IF(AF18="x",AF17,AF18))+$B$9)</f>
        <v>-4.95</v>
      </c>
      <c r="AQ38" s="8" t="s">
        <v>23</v>
      </c>
      <c r="AR38" s="1">
        <f>IF(AM17="x","N/A",$B$8*($C$21*IF(AM16="x",AM17,AM16)+$C$22*IF(AL17="x",AM17,AL17)+$C$23*IF(AN17="x",AM17,AN17))+$B$9)</f>
        <v>-5.94</v>
      </c>
      <c r="AS38" s="1">
        <f>IF(AM17="x","N/A",$B$8*($C$21*IF(AN17="x",AM17,AN17)+$C$22*IF(AM16="x",AM17,AM16)+$C$23*IF(AM18="x",AM17,AM18))+$B$9)</f>
        <v>-5.94</v>
      </c>
      <c r="AT38" s="1">
        <f>IF(AM17="x","N/A",$B$8*($C$21*IF(AM18="x",AM17,AM18)+$C$22*IF(AL17="x",AM17,AL17)+$C$23*IF(AN17="x",AM17,AN17))+$B$9)</f>
        <v>-5.94</v>
      </c>
      <c r="AU38" s="1">
        <f>IF(AM17="x","N/A",$B$8*($C$21*IF(AL17="x",AM17,AL17)+$C$22*IF(AM16="x",AM17,AM16)+$C$23*IF(AM18="x",AM17,AM18))+$B$9)</f>
        <v>-5.94</v>
      </c>
      <c r="AX38" s="8" t="s">
        <v>23</v>
      </c>
      <c r="AY38" s="1">
        <f>IF(AT17="x","N/A",$B$8*($C$21*IF(AT16="x",AT17,AT16)+$C$22*IF(AS17="x",AT17,AS17)+$C$23*IF(AU17="x",AT17,AU17))+$B$9)</f>
        <v>-6.9300000000000015</v>
      </c>
      <c r="AZ38" s="1">
        <f>IF(AT17="x","N/A",$B$8*($C$21*IF(AU17="x",AT17,AU17)+$C$22*IF(AT16="x",AT17,AT16)+$C$23*IF(AT18="x",AT17,AT18))+$B$9)</f>
        <v>-6.9300000000000015</v>
      </c>
      <c r="BA38" s="1">
        <f>IF(AT17="x","N/A",$B$8*($C$21*IF(AT18="x",AT17,AT18)+$C$22*IF(AS17="x",AT17,AS17)+$C$23*IF(AU17="x",AT17,AU17))+$B$9)</f>
        <v>-6.9300000000000015</v>
      </c>
      <c r="BB38" s="1">
        <f>IF(AT17="x","N/A",$B$8*($C$21*IF(AS17="x",AT17,AS17)+$C$22*IF(AT16="x",AT17,AT16)+$C$23*IF(AT18="x",AT17,AT18))+$B$9)</f>
        <v>-6.9300000000000015</v>
      </c>
      <c r="BE38" s="8" t="s">
        <v>23</v>
      </c>
      <c r="BF38" s="1">
        <f>IF(BA17="x","N/A",$B$8*($C$21*IF(BA16="x",BA17,BA16)+$C$22*IF(AZ17="x",BA17,AZ17)+$C$23*IF(BB17="x",BA17,BB17))+$B$9)</f>
        <v>-7.8990284800000019</v>
      </c>
      <c r="BG38" s="1">
        <f>IF(BA17="x","N/A",$B$8*($C$21*IF(BB17="x",BA17,BB17)+$C$22*IF(BA16="x",BA17,BA16)+$C$23*IF(BA18="x",BA17,BA18))+$B$9)</f>
        <v>-7.9200000000000026</v>
      </c>
      <c r="BH38" s="1">
        <f>IF(BA17="x","N/A",$B$8*($C$21*IF(BA18="x",BA17,BA18)+$C$22*IF(AZ17="x",BA17,AZ17)+$C$23*IF(BB17="x",BA17,BB17))+$B$9)</f>
        <v>-7.8990284800000019</v>
      </c>
      <c r="BI38" s="1">
        <f>IF(BA17="x","N/A",$B$8*($C$21*IF(AZ17="x",BA17,AZ17)+$C$22*IF(BA16="x",BA17,BA16)+$C$23*IF(BA18="x",BA17,BA18))+$B$9)</f>
        <v>-7.7522278400000024</v>
      </c>
      <c r="BL38" s="8" t="s">
        <v>23</v>
      </c>
      <c r="BM38" s="1">
        <f>IF(BH17="x","N/A",$B$8*($C$21*IF(BH16="x",BH17,BH16)+$C$22*IF(BG17="x",BH17,BG17)+$C$23*IF(BI17="x",BH17,BI17))+$B$9)</f>
        <v>-8.7109802752000025</v>
      </c>
      <c r="BN38" s="1">
        <f>IF(BH17="x","N/A",$B$8*($C$21*IF(BI17="x",BH17,BI17)+$C$22*IF(BH16="x",BH17,BH16)+$C$23*IF(BH18="x",BH17,BH18))+$B$9)</f>
        <v>-8.876445568000003</v>
      </c>
      <c r="BO38" s="1">
        <f>IF(BH17="x","N/A",$B$8*($C$21*IF(BH18="x",BH17,BH18)+$C$22*IF(BG17="x",BH17,BG17)+$C$23*IF(BI17="x",BH17,BI17))+$B$9)</f>
        <v>-8.7109802752000025</v>
      </c>
      <c r="BP38" s="1">
        <f>IF(BH17="x","N/A",$B$8*($C$21*IF(BG17="x",BH17,BG17)+$C$22*IF(BH16="x",BH17,BH16)+$C$23*IF(BH18="x",BH17,BH18))+$B$9)</f>
        <v>-8.3580295936000013</v>
      </c>
      <c r="BS38" s="8" t="s">
        <v>23</v>
      </c>
      <c r="BT38" s="1">
        <f>IF(BO17="x","N/A",$B$8*($C$21*IF(BO16="x",BO17,BO16)+$C$22*IF(BN17="x",BO17,BN17)+$C$23*IF(BP17="x",BO17,BP17))+$B$9)</f>
        <v>-9.3168868864000025</v>
      </c>
      <c r="BU38" s="1">
        <f>IF(BO17="x","N/A",$B$8*($C$21*IF(BP17="x",BO17,BP17)+$C$22*IF(BO16="x",BO17,BO16)+$C$23*IF(BO18="x",BO17,BO18))+$B$9)</f>
        <v>-9.6822317363200039</v>
      </c>
      <c r="BV38" s="1">
        <f>IF(BO17="x","N/A",$B$8*($C$21*IF(BO18="x",BO17,BO18)+$C$22*IF(BN17="x",BO17,BN17)+$C$23*IF(BP17="x",BO17,BP17))+$B$9)</f>
        <v>-9.3168868864000025</v>
      </c>
      <c r="BW38" s="1">
        <f>IF(BO17="x","N/A",$B$8*($C$21*IF(BN17="x",BO17,BN17)+$C$22*IF(BO16="x",BO17,BO16)+$C$23*IF(BO18="x",BO17,BO18))+$B$9)</f>
        <v>-8.7646857932800017</v>
      </c>
      <c r="BZ38" s="8" t="s">
        <v>23</v>
      </c>
      <c r="CA38" s="1">
        <f>IF(BV17="x","N/A",$B$8*($C$21*IF(BV16="x",BV17,BV16)+$C$22*IF(BU17="x",BV17,BU17)+$C$23*IF(BW17="x",BV17,BW17))+$B$9)</f>
        <v>-9.7308831180800031</v>
      </c>
      <c r="CB38" s="1">
        <f>IF(BV17="x","N/A",$B$8*($C$21*IF(BW17="x",BV17,BW17)+$C$22*IF(BV16="x",BV17,BV16)+$C$23*IF(BV18="x",BV17,BV18))+$B$9)</f>
        <v>-10.298938680320001</v>
      </c>
      <c r="CC38" s="1">
        <f>IF(BV17="x","N/A",$B$8*($C$21*IF(BV18="x",BV17,BV18)+$C$22*IF(BU17="x",BV17,BU17)+$C$23*IF(BW17="x",BV17,BW17))+$B$9)</f>
        <v>-9.7308831180800031</v>
      </c>
      <c r="CD38" s="1">
        <f>IF(BV17="x","N/A",$B$8*($C$21*IF(BU17="x",BV17,BU17)+$C$22*IF(BV16="x",BV17,BV16)+$C$23*IF(BV18="x",BV17,BV18))+$B$9)</f>
        <v>-9.0200115046400011</v>
      </c>
      <c r="CG38" s="8" t="s">
        <v>23</v>
      </c>
      <c r="CH38" s="1">
        <f>IF(CC17="x","N/A",$B$8*($C$21*IF(CC16="x",CC17,CC16)+$C$22*IF(CB17="x",CC17,CB17)+$C$23*IF(CD17="x",CC17,CD17))+$B$9)</f>
        <v>-9.9958599229440033</v>
      </c>
      <c r="CI38" s="1">
        <f>IF(CC17="x","N/A",$B$8*($C$21*IF(CD17="x",CC17,CD17)+$C$22*IF(CC16="x",CC17,CC16)+$C$23*IF(CC18="x",CC17,CC18))+$B$9)</f>
        <v>-10.734411426201603</v>
      </c>
      <c r="CJ38" s="1">
        <f>IF(CC17="x","N/A",$B$8*($C$21*IF(CC18="x",CC17,CC18)+$C$22*IF(CB17="x",CC17,CB17)+$C$23*IF(CD17="x",CC17,CD17))+$B$9)</f>
        <v>-9.9958599229440033</v>
      </c>
      <c r="CK38" s="1">
        <f>IF(CC17="x","N/A",$B$8*($C$21*IF(CB17="x",CC17,CB17)+$C$22*IF(CC16="x",CC17,CC16)+$C$23*IF(CC18="x",CC17,CC18))+$B$9)</f>
        <v>-9.172398929510404</v>
      </c>
      <c r="CN38" s="8" t="s">
        <v>23</v>
      </c>
      <c r="CO38" s="1">
        <f>IF(CJ17="x","N/A",$B$8*($C$21*IF(CJ16="x",CJ17,CJ16)+$C$22*IF(CI17="x",CJ17,CI17)+$C$23*IF(CK17="x",CJ17,CK17))+$B$9)</f>
        <v>-10.157244402524164</v>
      </c>
      <c r="CP38" s="1">
        <f>IF(CJ17="x","N/A",$B$8*($C$21*IF(CK17="x",CJ17,CK17)+$C$22*IF(CJ16="x",CJ17,CJ16)+$C$23*IF(CJ18="x",CJ17,CJ18))+$B$9)</f>
        <v>-11.023690196213762</v>
      </c>
      <c r="CQ38" s="1">
        <f>IF(CJ17="x","N/A",$B$8*($C$21*IF(CJ18="x",CJ17,CJ18)+$C$22*IF(CI17="x",CJ17,CI17)+$C$23*IF(CK17="x",CJ17,CK17))+$B$9)</f>
        <v>-10.157244402524164</v>
      </c>
      <c r="CR38" s="1">
        <f>IF(CJ17="x","N/A",$B$8*($C$21*IF(CI17="x",CJ17,CI17)+$C$22*IF(CJ16="x",CJ17,CJ16)+$C$23*IF(CJ18="x",CJ17,CJ18))+$B$9)</f>
        <v>-9.2598714469171224</v>
      </c>
      <c r="CU38" s="8" t="s">
        <v>23</v>
      </c>
      <c r="CV38" s="1">
        <f>IF(CQ17="x","N/A",$B$8*($C$21*IF(CQ16="x",CQ17,CQ16)+$C$22*IF(CP17="x",CQ17,CP17)+$C$23*IF(CR17="x",CQ17,CR17))+$B$9)</f>
        <v>-10.251815307591682</v>
      </c>
      <c r="CW38" s="1">
        <f>IF(CQ17="x","N/A",$B$8*($C$21*IF(CR17="x",CQ17,CR17)+$C$22*IF(CQ16="x",CQ17,CQ16)+$C$23*IF(CQ18="x",CQ17,CQ18))+$B$9)</f>
        <v>-11.206735802286085</v>
      </c>
      <c r="CX38" s="1">
        <f>IF(CQ17="x","N/A",$B$8*($C$21*IF(CQ18="x",CQ17,CQ18)+$C$22*IF(CP17="x",CQ17,CP17)+$C$23*IF(CR17="x",CQ17,CR17))+$B$9)</f>
        <v>-10.251815307591682</v>
      </c>
      <c r="CY38" s="1">
        <f>IF(CQ17="x","N/A",$B$8*($C$21*IF(CP17="x",CQ17,CP17)+$C$22*IF(CQ16="x",CQ17,CQ16)+$C$23*IF(CQ18="x",CQ17,CQ18))+$B$9)</f>
        <v>-9.3085579769446429</v>
      </c>
      <c r="DB38" s="8" t="s">
        <v>23</v>
      </c>
      <c r="DC38" s="1">
        <f>IF(CX17="x","N/A",$B$8*($C$21*IF(CX16="x",CX17,CX16)+$C$22*IF(CW17="x",CX17,CW17)+$C$23*IF(CY17="x",CX17,CY17))+$B$9)</f>
        <v>-10.305560383410999</v>
      </c>
      <c r="DD38" s="1">
        <f>IF(CX17="x","N/A",$B$8*($C$21*IF(CY17="x",CX17,CY17)+$C$22*IF(CX16="x",CX17,CX16)+$C$23*IF(CX18="x",CX17,CX18))+$B$9)</f>
        <v>-11.318143336928056</v>
      </c>
      <c r="DE38" s="1">
        <f>IF(CX17="x","N/A",$B$8*($C$21*IF(CX18="x",CX17,CX18)+$C$22*IF(CW17="x",CX17,CW17)+$C$23*IF(CY17="x",CX17,CY17))+$B$9)</f>
        <v>-10.305560383410999</v>
      </c>
      <c r="DF38" s="1">
        <f>IF(CX17="x","N/A",$B$8*($C$21*IF(CW17="x",CX17,CW17)+$C$22*IF(CX16="x",CX17,CX16)+$C$23*IF(CX18="x",CX17,CX18))+$B$9)</f>
        <v>-9.3349918686920716</v>
      </c>
    </row>
    <row r="39" spans="8:110" x14ac:dyDescent="0.25">
      <c r="H39" s="8" t="s">
        <v>24</v>
      </c>
      <c r="I39" s="1" t="str">
        <f>IF(D18="x","N/A",$B$8*($C$21*IF(D17="x",D18,D17)+$C$22*IF(C18="x",D18,C18)+$C$23*IF(E18="x",D18,E18))+$B$9)</f>
        <v>N/A</v>
      </c>
      <c r="J39" s="1" t="str">
        <f>IF(D18="x","N/A",$B$8*($C$21*IF(E18="x",D18,E18)+$C$22*IF(D17="x",D18,D17)+$C$23*IF(D19="x",D18,D19))+$B$9)</f>
        <v>N/A</v>
      </c>
      <c r="K39" s="1" t="str">
        <f>IF(D18="x","N/A",$B$8*($C$21*IF(D19="x",D18,D19)+$C$22*IF(C18="x",D18,C18)+$C$23*IF(E18="x",D18,E18))+$B$9)</f>
        <v>N/A</v>
      </c>
      <c r="L39" s="1" t="str">
        <f>IF(D18="x","N/A",$B$8*($C$21*IF(C18="x",D18,C18)+$C$22*IF(D17="x",D18,D17)+$C$23*IF(D19="x",D18,D19))+$B$9)</f>
        <v>N/A</v>
      </c>
      <c r="O39" s="8" t="s">
        <v>24</v>
      </c>
      <c r="P39" s="1" t="str">
        <f>IF(K18="x","N/A",$B$8*($C$21*IF(K17="x",K18,K17)+$C$22*IF(J18="x",K18,J18)+$C$23*IF(L18="x",K18,L18))+$B$9)</f>
        <v>N/A</v>
      </c>
      <c r="Q39" s="1" t="str">
        <f>IF(K18="x","N/A",$B$8*($C$21*IF(L18="x",K18,L18)+$C$22*IF(K17="x",K18,K17)+$C$23*IF(K19="x",K18,K19))+$B$9)</f>
        <v>N/A</v>
      </c>
      <c r="R39" s="1" t="str">
        <f>IF(K18="x","N/A",$B$8*($C$21*IF(K19="x",K18,K19)+$C$22*IF(J18="x",K18,J18)+$C$23*IF(L18="x",K18,L18))+$B$9)</f>
        <v>N/A</v>
      </c>
      <c r="S39" s="1" t="str">
        <f>IF(K18="x","N/A",$B$8*($C$21*IF(J18="x",K18,J18)+$C$22*IF(K17="x",K18,K17)+$C$23*IF(K19="x",K18,K19))+$B$9)</f>
        <v>N/A</v>
      </c>
      <c r="V39" s="8" t="s">
        <v>24</v>
      </c>
      <c r="W39" s="1" t="str">
        <f>IF(R18="x","N/A",$B$8*($C$21*IF(R17="x",R18,R17)+$C$22*IF(Q18="x",R18,Q18)+$C$23*IF(S18="x",R18,S18))+$B$9)</f>
        <v>N/A</v>
      </c>
      <c r="X39" s="1" t="str">
        <f>IF(R18="x","N/A",$B$8*($C$21*IF(S18="x",R18,S18)+$C$22*IF(R17="x",R18,R17)+$C$23*IF(R19="x",R18,R19))+$B$9)</f>
        <v>N/A</v>
      </c>
      <c r="Y39" s="1" t="str">
        <f>IF(R18="x","N/A",$B$8*($C$21*IF(R19="x",R18,R19)+$C$22*IF(Q18="x",R18,Q18)+$C$23*IF(S18="x",R18,S18))+$B$9)</f>
        <v>N/A</v>
      </c>
      <c r="Z39" s="1" t="str">
        <f>IF(R18="x","N/A",$B$8*($C$21*IF(Q18="x",R18,Q18)+$C$22*IF(R17="x",R18,R17)+$C$23*IF(R19="x",R18,R19))+$B$9)</f>
        <v>N/A</v>
      </c>
      <c r="AC39" s="8" t="s">
        <v>24</v>
      </c>
      <c r="AD39" s="1" t="str">
        <f>IF(Y18="x","N/A",$B$8*($C$21*IF(Y17="x",Y18,Y17)+$C$22*IF(X18="x",Y18,X18)+$C$23*IF(Z18="x",Y18,Z18))+$B$9)</f>
        <v>N/A</v>
      </c>
      <c r="AE39" s="1" t="str">
        <f>IF(Y18="x","N/A",$B$8*($C$21*IF(Z18="x",Y18,Z18)+$C$22*IF(Y17="x",Y18,Y17)+$C$23*IF(Y19="x",Y18,Y19))+$B$9)</f>
        <v>N/A</v>
      </c>
      <c r="AF39" s="1" t="str">
        <f>IF(Y18="x","N/A",$B$8*($C$21*IF(Y19="x",Y18,Y19)+$C$22*IF(X18="x",Y18,X18)+$C$23*IF(Z18="x",Y18,Z18))+$B$9)</f>
        <v>N/A</v>
      </c>
      <c r="AG39" s="1" t="str">
        <f>IF(Y18="x","N/A",$B$8*($C$21*IF(X18="x",Y18,X18)+$C$22*IF(Y17="x",Y18,Y17)+$C$23*IF(Y19="x",Y18,Y19))+$B$9)</f>
        <v>N/A</v>
      </c>
      <c r="AJ39" s="8" t="s">
        <v>24</v>
      </c>
      <c r="AK39" s="1" t="str">
        <f>IF(AF18="x","N/A",$B$8*($C$21*IF(AF17="x",AF18,AF17)+$C$22*IF(AE18="x",AF18,AE18)+$C$23*IF(AG18="x",AF18,AG18))+$B$9)</f>
        <v>N/A</v>
      </c>
      <c r="AL39" s="1" t="str">
        <f>IF(AF18="x","N/A",$B$8*($C$21*IF(AG18="x",AF18,AG18)+$C$22*IF(AF17="x",AF18,AF17)+$C$23*IF(AF19="x",AF18,AF19))+$B$9)</f>
        <v>N/A</v>
      </c>
      <c r="AM39" s="1" t="str">
        <f>IF(AF18="x","N/A",$B$8*($C$21*IF(AF19="x",AF18,AF19)+$C$22*IF(AE18="x",AF18,AE18)+$C$23*IF(AG18="x",AF18,AG18))+$B$9)</f>
        <v>N/A</v>
      </c>
      <c r="AN39" s="1" t="str">
        <f>IF(AF18="x","N/A",$B$8*($C$21*IF(AE18="x",AF18,AE18)+$C$22*IF(AF17="x",AF18,AF17)+$C$23*IF(AF19="x",AF18,AF19))+$B$9)</f>
        <v>N/A</v>
      </c>
      <c r="AQ39" s="8" t="s">
        <v>24</v>
      </c>
      <c r="AR39" s="1" t="str">
        <f>IF(AM18="x","N/A",$B$8*($C$21*IF(AM17="x",AM18,AM17)+$C$22*IF(AL18="x",AM18,AL18)+$C$23*IF(AN18="x",AM18,AN18))+$B$9)</f>
        <v>N/A</v>
      </c>
      <c r="AS39" s="1" t="str">
        <f>IF(AM18="x","N/A",$B$8*($C$21*IF(AN18="x",AM18,AN18)+$C$22*IF(AM17="x",AM18,AM17)+$C$23*IF(AM19="x",AM18,AM19))+$B$9)</f>
        <v>N/A</v>
      </c>
      <c r="AT39" s="1" t="str">
        <f>IF(AM18="x","N/A",$B$8*($C$21*IF(AM19="x",AM18,AM19)+$C$22*IF(AL18="x",AM18,AL18)+$C$23*IF(AN18="x",AM18,AN18))+$B$9)</f>
        <v>N/A</v>
      </c>
      <c r="AU39" s="1" t="str">
        <f>IF(AM18="x","N/A",$B$8*($C$21*IF(AL18="x",AM18,AL18)+$C$22*IF(AM17="x",AM18,AM17)+$C$23*IF(AM19="x",AM18,AM19))+$B$9)</f>
        <v>N/A</v>
      </c>
      <c r="AX39" s="8" t="s">
        <v>24</v>
      </c>
      <c r="AY39" s="1" t="str">
        <f>IF(AT18="x","N/A",$B$8*($C$21*IF(AT17="x",AT18,AT17)+$C$22*IF(AS18="x",AT18,AS18)+$C$23*IF(AU18="x",AT18,AU18))+$B$9)</f>
        <v>N/A</v>
      </c>
      <c r="AZ39" s="1" t="str">
        <f>IF(AT18="x","N/A",$B$8*($C$21*IF(AU18="x",AT18,AU18)+$C$22*IF(AT17="x",AT18,AT17)+$C$23*IF(AT19="x",AT18,AT19))+$B$9)</f>
        <v>N/A</v>
      </c>
      <c r="BA39" s="1" t="str">
        <f>IF(AT18="x","N/A",$B$8*($C$21*IF(AT19="x",AT18,AT19)+$C$22*IF(AS18="x",AT18,AS18)+$C$23*IF(AU18="x",AT18,AU18))+$B$9)</f>
        <v>N/A</v>
      </c>
      <c r="BB39" s="1" t="str">
        <f>IF(AT18="x","N/A",$B$8*($C$21*IF(AS18="x",AT18,AS18)+$C$22*IF(AT17="x",AT18,AT17)+$C$23*IF(AT19="x",AT18,AT19))+$B$9)</f>
        <v>N/A</v>
      </c>
      <c r="BE39" s="8" t="s">
        <v>24</v>
      </c>
      <c r="BF39" s="1" t="str">
        <f>IF(BA18="x","N/A",$B$8*($C$21*IF(BA17="x",BA18,BA17)+$C$22*IF(AZ18="x",BA18,AZ18)+$C$23*IF(BB18="x",BA18,BB18))+$B$9)</f>
        <v>N/A</v>
      </c>
      <c r="BG39" s="1" t="str">
        <f>IF(BA18="x","N/A",$B$8*($C$21*IF(BB18="x",BA18,BB18)+$C$22*IF(BA17="x",BA18,BA17)+$C$23*IF(BA19="x",BA18,BA19))+$B$9)</f>
        <v>N/A</v>
      </c>
      <c r="BH39" s="1" t="str">
        <f>IF(BA18="x","N/A",$B$8*($C$21*IF(BA19="x",BA18,BA19)+$C$22*IF(AZ18="x",BA18,AZ18)+$C$23*IF(BB18="x",BA18,BB18))+$B$9)</f>
        <v>N/A</v>
      </c>
      <c r="BI39" s="1" t="str">
        <f>IF(BA18="x","N/A",$B$8*($C$21*IF(AZ18="x",BA18,AZ18)+$C$22*IF(BA17="x",BA18,BA17)+$C$23*IF(BA19="x",BA18,BA19))+$B$9)</f>
        <v>N/A</v>
      </c>
      <c r="BL39" s="8" t="s">
        <v>24</v>
      </c>
      <c r="BM39" s="1" t="str">
        <f>IF(BH18="x","N/A",$B$8*($C$21*IF(BH17="x",BH18,BH17)+$C$22*IF(BG18="x",BH18,BG18)+$C$23*IF(BI18="x",BH18,BI18))+$B$9)</f>
        <v>N/A</v>
      </c>
      <c r="BN39" s="1" t="str">
        <f>IF(BH18="x","N/A",$B$8*($C$21*IF(BI18="x",BH18,BI18)+$C$22*IF(BH17="x",BH18,BH17)+$C$23*IF(BH19="x",BH18,BH19))+$B$9)</f>
        <v>N/A</v>
      </c>
      <c r="BO39" s="1" t="str">
        <f>IF(BH18="x","N/A",$B$8*($C$21*IF(BH19="x",BH18,BH19)+$C$22*IF(BG18="x",BH18,BG18)+$C$23*IF(BI18="x",BH18,BI18))+$B$9)</f>
        <v>N/A</v>
      </c>
      <c r="BP39" s="1" t="str">
        <f>IF(BH18="x","N/A",$B$8*($C$21*IF(BG18="x",BH18,BG18)+$C$22*IF(BH17="x",BH18,BH17)+$C$23*IF(BH19="x",BH18,BH19))+$B$9)</f>
        <v>N/A</v>
      </c>
      <c r="BS39" s="8" t="s">
        <v>24</v>
      </c>
      <c r="BT39" s="1" t="str">
        <f>IF(BO18="x","N/A",$B$8*($C$21*IF(BO17="x",BO18,BO17)+$C$22*IF(BN18="x",BO18,BN18)+$C$23*IF(BP18="x",BO18,BP18))+$B$9)</f>
        <v>N/A</v>
      </c>
      <c r="BU39" s="1" t="str">
        <f>IF(BO18="x","N/A",$B$8*($C$21*IF(BP18="x",BO18,BP18)+$C$22*IF(BO17="x",BO18,BO17)+$C$23*IF(BO19="x",BO18,BO19))+$B$9)</f>
        <v>N/A</v>
      </c>
      <c r="BV39" s="1" t="str">
        <f>IF(BO18="x","N/A",$B$8*($C$21*IF(BO19="x",BO18,BO19)+$C$22*IF(BN18="x",BO18,BN18)+$C$23*IF(BP18="x",BO18,BP18))+$B$9)</f>
        <v>N/A</v>
      </c>
      <c r="BW39" s="1" t="str">
        <f>IF(BO18="x","N/A",$B$8*($C$21*IF(BN18="x",BO18,BN18)+$C$22*IF(BO17="x",BO18,BO17)+$C$23*IF(BO19="x",BO18,BO19))+$B$9)</f>
        <v>N/A</v>
      </c>
      <c r="BZ39" s="8" t="s">
        <v>24</v>
      </c>
      <c r="CA39" s="1" t="str">
        <f>IF(BV18="x","N/A",$B$8*($C$21*IF(BV17="x",BV18,BV17)+$C$22*IF(BU18="x",BV18,BU18)+$C$23*IF(BW18="x",BV18,BW18))+$B$9)</f>
        <v>N/A</v>
      </c>
      <c r="CB39" s="1" t="str">
        <f>IF(BV18="x","N/A",$B$8*($C$21*IF(BW18="x",BV18,BW18)+$C$22*IF(BV17="x",BV18,BV17)+$C$23*IF(BV19="x",BV18,BV19))+$B$9)</f>
        <v>N/A</v>
      </c>
      <c r="CC39" s="1" t="str">
        <f>IF(BV18="x","N/A",$B$8*($C$21*IF(BV19="x",BV18,BV19)+$C$22*IF(BU18="x",BV18,BU18)+$C$23*IF(BW18="x",BV18,BW18))+$B$9)</f>
        <v>N/A</v>
      </c>
      <c r="CD39" s="1" t="str">
        <f>IF(BV18="x","N/A",$B$8*($C$21*IF(BU18="x",BV18,BU18)+$C$22*IF(BV17="x",BV18,BV17)+$C$23*IF(BV19="x",BV18,BV19))+$B$9)</f>
        <v>N/A</v>
      </c>
      <c r="CG39" s="8" t="s">
        <v>24</v>
      </c>
      <c r="CH39" s="1" t="str">
        <f>IF(CC18="x","N/A",$B$8*($C$21*IF(CC17="x",CC18,CC17)+$C$22*IF(CB18="x",CC18,CB18)+$C$23*IF(CD18="x",CC18,CD18))+$B$9)</f>
        <v>N/A</v>
      </c>
      <c r="CI39" s="1" t="str">
        <f>IF(CC18="x","N/A",$B$8*($C$21*IF(CD18="x",CC18,CD18)+$C$22*IF(CC17="x",CC18,CC17)+$C$23*IF(CC19="x",CC18,CC19))+$B$9)</f>
        <v>N/A</v>
      </c>
      <c r="CJ39" s="1" t="str">
        <f>IF(CC18="x","N/A",$B$8*($C$21*IF(CC19="x",CC18,CC19)+$C$22*IF(CB18="x",CC18,CB18)+$C$23*IF(CD18="x",CC18,CD18))+$B$9)</f>
        <v>N/A</v>
      </c>
      <c r="CK39" s="1" t="str">
        <f>IF(CC18="x","N/A",$B$8*($C$21*IF(CB18="x",CC18,CB18)+$C$22*IF(CC17="x",CC18,CC17)+$C$23*IF(CC19="x",CC18,CC19))+$B$9)</f>
        <v>N/A</v>
      </c>
      <c r="CN39" s="8" t="s">
        <v>24</v>
      </c>
      <c r="CO39" s="1" t="str">
        <f>IF(CJ18="x","N/A",$B$8*($C$21*IF(CJ17="x",CJ18,CJ17)+$C$22*IF(CI18="x",CJ18,CI18)+$C$23*IF(CK18="x",CJ18,CK18))+$B$9)</f>
        <v>N/A</v>
      </c>
      <c r="CP39" s="1" t="str">
        <f>IF(CJ18="x","N/A",$B$8*($C$21*IF(CK18="x",CJ18,CK18)+$C$22*IF(CJ17="x",CJ18,CJ17)+$C$23*IF(CJ19="x",CJ18,CJ19))+$B$9)</f>
        <v>N/A</v>
      </c>
      <c r="CQ39" s="1" t="str">
        <f>IF(CJ18="x","N/A",$B$8*($C$21*IF(CJ19="x",CJ18,CJ19)+$C$22*IF(CI18="x",CJ18,CI18)+$C$23*IF(CK18="x",CJ18,CK18))+$B$9)</f>
        <v>N/A</v>
      </c>
      <c r="CR39" s="1" t="str">
        <f>IF(CJ18="x","N/A",$B$8*($C$21*IF(CI18="x",CJ18,CI18)+$C$22*IF(CJ17="x",CJ18,CJ17)+$C$23*IF(CJ19="x",CJ18,CJ19))+$B$9)</f>
        <v>N/A</v>
      </c>
      <c r="CU39" s="8" t="s">
        <v>24</v>
      </c>
      <c r="CV39" s="1" t="str">
        <f>IF(CQ18="x","N/A",$B$8*($C$21*IF(CQ17="x",CQ18,CQ17)+$C$22*IF(CP18="x",CQ18,CP18)+$C$23*IF(CR18="x",CQ18,CR18))+$B$9)</f>
        <v>N/A</v>
      </c>
      <c r="CW39" s="1" t="str">
        <f>IF(CQ18="x","N/A",$B$8*($C$21*IF(CR18="x",CQ18,CR18)+$C$22*IF(CQ17="x",CQ18,CQ17)+$C$23*IF(CQ19="x",CQ18,CQ19))+$B$9)</f>
        <v>N/A</v>
      </c>
      <c r="CX39" s="1" t="str">
        <f>IF(CQ18="x","N/A",$B$8*($C$21*IF(CQ19="x",CQ18,CQ19)+$C$22*IF(CP18="x",CQ18,CP18)+$C$23*IF(CR18="x",CQ18,CR18))+$B$9)</f>
        <v>N/A</v>
      </c>
      <c r="CY39" s="1" t="str">
        <f>IF(CQ18="x","N/A",$B$8*($C$21*IF(CP18="x",CQ18,CP18)+$C$22*IF(CQ17="x",CQ18,CQ17)+$C$23*IF(CQ19="x",CQ18,CQ19))+$B$9)</f>
        <v>N/A</v>
      </c>
      <c r="DB39" s="8" t="s">
        <v>24</v>
      </c>
      <c r="DC39" s="1" t="str">
        <f>IF(CX18="x","N/A",$B$8*($C$21*IF(CX17="x",CX18,CX17)+$C$22*IF(CW18="x",CX18,CW18)+$C$23*IF(CY18="x",CX18,CY18))+$B$9)</f>
        <v>N/A</v>
      </c>
      <c r="DD39" s="1" t="str">
        <f>IF(CX18="x","N/A",$B$8*($C$21*IF(CY18="x",CX18,CY18)+$C$22*IF(CX17="x",CX18,CX17)+$C$23*IF(CX19="x",CX18,CX19))+$B$9)</f>
        <v>N/A</v>
      </c>
      <c r="DE39" s="1" t="str">
        <f>IF(CX18="x","N/A",$B$8*($C$21*IF(CX19="x",CX18,CX19)+$C$22*IF(CW18="x",CX18,CW18)+$C$23*IF(CY18="x",CX18,CY18))+$B$9)</f>
        <v>N/A</v>
      </c>
      <c r="DF39" s="1" t="str">
        <f>IF(CX18="x","N/A",$B$8*($C$21*IF(CW18="x",CX18,CW18)+$C$22*IF(CX17="x",CX18,CX17)+$C$23*IF(CX19="x",CX18,CX19))+$B$9)</f>
        <v>N/A</v>
      </c>
    </row>
    <row r="40" spans="8:110" x14ac:dyDescent="0.25">
      <c r="H40" s="8" t="s">
        <v>25</v>
      </c>
      <c r="I40" s="1">
        <f>IF(D19="x","N/A",$B$8*($C$21*IF(D18="x",D19,D18)+$C$22*IF(C19="x",D19,C19)+$C$23*IF(E19="x",D19,E19))+$B$9)</f>
        <v>-0.99</v>
      </c>
      <c r="J40" s="1">
        <f>IF(D19="x","N/A",$B$8*($C$21*IF(E19="x",D19,E19)+$C$22*IF(D18="x",D19,D18)+$C$23*IF(D20="x",D19,D20))+$B$9)</f>
        <v>-0.99</v>
      </c>
      <c r="K40" s="1">
        <f>IF(D19="x","N/A",$B$8*($C$21*IF(D20="x",D19,D20)+$C$22*IF(C19="x",D19,C19)+$C$23*IF(E19="x",D19,E19))+$B$9)</f>
        <v>-0.99</v>
      </c>
      <c r="L40" s="1">
        <f>IF(D19="x","N/A",$B$8*($C$21*IF(C19="x",D19,C19)+$C$22*IF(D18="x",D19,D18)+$C$23*IF(D20="x",D19,D20))+$B$9)</f>
        <v>-0.99</v>
      </c>
      <c r="O40" s="8" t="s">
        <v>25</v>
      </c>
      <c r="P40" s="1">
        <f>IF(K19="x","N/A",$B$8*($C$21*IF(K18="x",K19,K18)+$C$22*IF(J19="x",K19,J19)+$C$23*IF(L19="x",K19,L19))+$B$9)</f>
        <v>-1.98</v>
      </c>
      <c r="Q40" s="1">
        <f>IF(K19="x","N/A",$B$8*($C$21*IF(L19="x",K19,L19)+$C$22*IF(K18="x",K19,K18)+$C$23*IF(K20="x",K19,K20))+$B$9)</f>
        <v>-1.98</v>
      </c>
      <c r="R40" s="1">
        <f>IF(K19="x","N/A",$B$8*($C$21*IF(K20="x",K19,K20)+$C$22*IF(J19="x",K19,J19)+$C$23*IF(L19="x",K19,L19))+$B$9)</f>
        <v>-1.98</v>
      </c>
      <c r="S40" s="1">
        <f>IF(K19="x","N/A",$B$8*($C$21*IF(J19="x",K19,J19)+$C$22*IF(K18="x",K19,K18)+$C$23*IF(K20="x",K19,K20))+$B$9)</f>
        <v>-1.98</v>
      </c>
      <c r="V40" s="8" t="s">
        <v>25</v>
      </c>
      <c r="W40" s="1">
        <f>IF(R19="x","N/A",$B$8*($C$21*IF(R18="x",R19,R18)+$C$22*IF(Q19="x",R19,Q19)+$C$23*IF(S19="x",R19,S19))+$B$9)</f>
        <v>-2.9699999999999998</v>
      </c>
      <c r="X40" s="1">
        <f>IF(R19="x","N/A",$B$8*($C$21*IF(S19="x",R19,S19)+$C$22*IF(R18="x",R19,R18)+$C$23*IF(R20="x",R19,R20))+$B$9)</f>
        <v>-2.9699999999999998</v>
      </c>
      <c r="Y40" s="1">
        <f>IF(R19="x","N/A",$B$8*($C$21*IF(R20="x",R19,R20)+$C$22*IF(Q19="x",R19,Q19)+$C$23*IF(S19="x",R19,S19))+$B$9)</f>
        <v>-2.9699999999999998</v>
      </c>
      <c r="Z40" s="1">
        <f>IF(R19="x","N/A",$B$8*($C$21*IF(Q19="x",R19,Q19)+$C$22*IF(R18="x",R19,R18)+$C$23*IF(R20="x",R19,R20))+$B$9)</f>
        <v>-2.9699999999999998</v>
      </c>
      <c r="AC40" s="8" t="s">
        <v>25</v>
      </c>
      <c r="AD40" s="1">
        <f>IF(Y19="x","N/A",$B$8*($C$21*IF(Y18="x",Y19,Y18)+$C$22*IF(X19="x",Y19,X19)+$C$23*IF(Z19="x",Y19,Z19))+$B$9)</f>
        <v>-3.96</v>
      </c>
      <c r="AE40" s="1">
        <f>IF(Y19="x","N/A",$B$8*($C$21*IF(Z19="x",Y19,Z19)+$C$22*IF(Y18="x",Y19,Y18)+$C$23*IF(Y20="x",Y19,Y20))+$B$9)</f>
        <v>-3.96</v>
      </c>
      <c r="AF40" s="1">
        <f>IF(Y19="x","N/A",$B$8*($C$21*IF(Y20="x",Y19,Y20)+$C$22*IF(X19="x",Y19,X19)+$C$23*IF(Z19="x",Y19,Z19))+$B$9)</f>
        <v>-3.96</v>
      </c>
      <c r="AG40" s="1">
        <f>IF(Y19="x","N/A",$B$8*($C$21*IF(X19="x",Y19,X19)+$C$22*IF(Y18="x",Y19,Y18)+$C$23*IF(Y20="x",Y19,Y20))+$B$9)</f>
        <v>-3.96</v>
      </c>
      <c r="AJ40" s="8" t="s">
        <v>25</v>
      </c>
      <c r="AK40" s="1">
        <f>IF(AF19="x","N/A",$B$8*($C$21*IF(AF18="x",AF19,AF18)+$C$22*IF(AE19="x",AF19,AE19)+$C$23*IF(AG19="x",AF19,AG19))+$B$9)</f>
        <v>-4.95</v>
      </c>
      <c r="AL40" s="1">
        <f>IF(AF19="x","N/A",$B$8*($C$21*IF(AG19="x",AF19,AG19)+$C$22*IF(AF18="x",AF19,AF18)+$C$23*IF(AF20="x",AF19,AF20))+$B$9)</f>
        <v>-4.95</v>
      </c>
      <c r="AM40" s="1">
        <f>IF(AF19="x","N/A",$B$8*($C$21*IF(AF20="x",AF19,AF20)+$C$22*IF(AE19="x",AF19,AE19)+$C$23*IF(AG19="x",AF19,AG19))+$B$9)</f>
        <v>-4.95</v>
      </c>
      <c r="AN40" s="1">
        <f>IF(AF19="x","N/A",$B$8*($C$21*IF(AE19="x",AF19,AE19)+$C$22*IF(AF18="x",AF19,AF18)+$C$23*IF(AF20="x",AF19,AF20))+$B$9)</f>
        <v>-4.95</v>
      </c>
      <c r="AQ40" s="8" t="s">
        <v>25</v>
      </c>
      <c r="AR40" s="1">
        <f>IF(AM19="x","N/A",$B$8*($C$21*IF(AM18="x",AM19,AM18)+$C$22*IF(AL19="x",AM19,AL19)+$C$23*IF(AN19="x",AM19,AN19))+$B$9)</f>
        <v>-5.94</v>
      </c>
      <c r="AS40" s="1">
        <f>IF(AM19="x","N/A",$B$8*($C$21*IF(AN19="x",AM19,AN19)+$C$22*IF(AM18="x",AM19,AM18)+$C$23*IF(AM20="x",AM19,AM20))+$B$9)</f>
        <v>-5.94</v>
      </c>
      <c r="AT40" s="1">
        <f>IF(AM19="x","N/A",$B$8*($C$21*IF(AM20="x",AM19,AM20)+$C$22*IF(AL19="x",AM19,AL19)+$C$23*IF(AN19="x",AM19,AN19))+$B$9)</f>
        <v>-5.94</v>
      </c>
      <c r="AU40" s="1">
        <f>IF(AM19="x","N/A",$B$8*($C$21*IF(AL19="x",AM19,AL19)+$C$22*IF(AM18="x",AM19,AM18)+$C$23*IF(AM20="x",AM19,AM20))+$B$9)</f>
        <v>-5.94</v>
      </c>
      <c r="AX40" s="8" t="s">
        <v>25</v>
      </c>
      <c r="AY40" s="1">
        <f>IF(AT19="x","N/A",$B$8*($C$21*IF(AT18="x",AT19,AT18)+$C$22*IF(AS19="x",AT19,AS19)+$C$23*IF(AU19="x",AT19,AU19))+$B$9)</f>
        <v>-6.9300000000000015</v>
      </c>
      <c r="AZ40" s="1">
        <f>IF(AT19="x","N/A",$B$8*($C$21*IF(AU19="x",AT19,AU19)+$C$22*IF(AT18="x",AT19,AT18)+$C$23*IF(AT20="x",AT19,AT20))+$B$9)</f>
        <v>-6.9300000000000015</v>
      </c>
      <c r="BA40" s="1">
        <f>IF(AT19="x","N/A",$B$8*($C$21*IF(AT20="x",AT19,AT20)+$C$22*IF(AS19="x",AT19,AS19)+$C$23*IF(AU19="x",AT19,AU19))+$B$9)</f>
        <v>-6.9300000000000015</v>
      </c>
      <c r="BB40" s="1">
        <f>IF(AT19="x","N/A",$B$8*($C$21*IF(AS19="x",AT19,AS19)+$C$22*IF(AT18="x",AT19,AT18)+$C$23*IF(AT20="x",AT19,AT20))+$B$9)</f>
        <v>-6.9300000000000015</v>
      </c>
      <c r="BE40" s="8" t="s">
        <v>25</v>
      </c>
      <c r="BF40" s="1">
        <f>IF(BA19="x","N/A",$B$8*($C$21*IF(BA18="x",BA19,BA18)+$C$22*IF(AZ19="x",BA19,AZ19)+$C$23*IF(BB19="x",BA19,BB19))+$B$9)</f>
        <v>-7.9200000000000026</v>
      </c>
      <c r="BG40" s="1">
        <f>IF(BA19="x","N/A",$B$8*($C$21*IF(BB19="x",BA19,BB19)+$C$22*IF(BA18="x",BA19,BA18)+$C$23*IF(BA20="x",BA19,BA20))+$B$9)</f>
        <v>-7.9200000000000026</v>
      </c>
      <c r="BH40" s="1">
        <f>IF(BA19="x","N/A",$B$8*($C$21*IF(BA20="x",BA19,BA20)+$C$22*IF(AZ19="x",BA19,AZ19)+$C$23*IF(BB19="x",BA19,BB19))+$B$9)</f>
        <v>-7.9200000000000026</v>
      </c>
      <c r="BI40" s="1">
        <f>IF(BA19="x","N/A",$B$8*($C$21*IF(AZ19="x",BA19,AZ19)+$C$22*IF(BA18="x",BA19,BA18)+$C$23*IF(BA20="x",BA19,BA20))+$B$9)</f>
        <v>-7.9200000000000026</v>
      </c>
      <c r="BL40" s="8" t="s">
        <v>25</v>
      </c>
      <c r="BM40" s="1">
        <f>IF(BH19="x","N/A",$B$8*($C$21*IF(BH18="x",BH19,BH18)+$C$22*IF(BG19="x",BH19,BG19)+$C$23*IF(BI19="x",BH19,BI19))+$B$9)</f>
        <v>-8.9100000000000019</v>
      </c>
      <c r="BN40" s="1">
        <f>IF(BH19="x","N/A",$B$8*($C$21*IF(BI19="x",BH19,BI19)+$C$22*IF(BH18="x",BH19,BH18)+$C$23*IF(BH20="x",BH19,BH20))+$B$9)</f>
        <v>-8.9100000000000019</v>
      </c>
      <c r="BO40" s="1">
        <f>IF(BH19="x","N/A",$B$8*($C$21*IF(BH20="x",BH19,BH20)+$C$22*IF(BG19="x",BH19,BG19)+$C$23*IF(BI19="x",BH19,BI19))+$B$9)</f>
        <v>-8.9100000000000019</v>
      </c>
      <c r="BP40" s="1">
        <f>IF(BH19="x","N/A",$B$8*($C$21*IF(BG19="x",BH19,BG19)+$C$22*IF(BH18="x",BH19,BH18)+$C$23*IF(BH20="x",BH19,BH20))+$B$9)</f>
        <v>-8.9100000000000019</v>
      </c>
      <c r="BS40" s="8" t="s">
        <v>25</v>
      </c>
      <c r="BT40" s="1">
        <f>IF(BO19="x","N/A",$B$8*($C$21*IF(BO18="x",BO19,BO18)+$C$22*IF(BN19="x",BO19,BN19)+$C$23*IF(BP19="x",BO19,BP19))+$B$9)</f>
        <v>-9.9000000000000021</v>
      </c>
      <c r="BU40" s="1">
        <f>IF(BO19="x","N/A",$B$8*($C$21*IF(BP19="x",BO19,BP19)+$C$22*IF(BO18="x",BO19,BO18)+$C$23*IF(BO20="x",BO19,BO20))+$B$9)</f>
        <v>-9.9000000000000021</v>
      </c>
      <c r="BV40" s="1">
        <f>IF(BO19="x","N/A",$B$8*($C$21*IF(BO20="x",BO19,BO20)+$C$22*IF(BN19="x",BO19,BN19)+$C$23*IF(BP19="x",BO19,BP19))+$B$9)</f>
        <v>-9.9000000000000021</v>
      </c>
      <c r="BW40" s="1">
        <f>IF(BO19="x","N/A",$B$8*($C$21*IF(BN19="x",BO19,BN19)+$C$22*IF(BO18="x",BO19,BO18)+$C$23*IF(BO20="x",BO19,BO20))+$B$9)</f>
        <v>-9.9000000000000021</v>
      </c>
      <c r="BZ40" s="8" t="s">
        <v>25</v>
      </c>
      <c r="CA40" s="1">
        <f>IF(BV19="x","N/A",$B$8*($C$21*IF(BV18="x",BV19,BV18)+$C$22*IF(BU19="x",BV19,BU19)+$C$23*IF(BW19="x",BV19,BW19))+$B$9)</f>
        <v>-10.890000000000002</v>
      </c>
      <c r="CB40" s="1">
        <f>IF(BV19="x","N/A",$B$8*($C$21*IF(BW19="x",BV19,BW19)+$C$22*IF(BV18="x",BV19,BV18)+$C$23*IF(BV20="x",BV19,BV20))+$B$9)</f>
        <v>-10.890000000000002</v>
      </c>
      <c r="CC40" s="1">
        <f>IF(BV19="x","N/A",$B$8*($C$21*IF(BV20="x",BV19,BV20)+$C$22*IF(BU19="x",BV19,BU19)+$C$23*IF(BW19="x",BV19,BW19))+$B$9)</f>
        <v>-10.890000000000002</v>
      </c>
      <c r="CD40" s="1">
        <f>IF(BV19="x","N/A",$B$8*($C$21*IF(BU19="x",BV19,BU19)+$C$22*IF(BV18="x",BV19,BV18)+$C$23*IF(BV20="x",BV19,BV20))+$B$9)</f>
        <v>-10.890000000000002</v>
      </c>
      <c r="CG40" s="8" t="s">
        <v>25</v>
      </c>
      <c r="CH40" s="1">
        <f>IF(CC19="x","N/A",$B$8*($C$21*IF(CC18="x",CC19,CC18)+$C$22*IF(CB19="x",CC19,CB19)+$C$23*IF(CD19="x",CC19,CD19))+$B$9)</f>
        <v>-11.871410065408002</v>
      </c>
      <c r="CI40" s="1">
        <f>IF(CC19="x","N/A",$B$8*($C$21*IF(CD19="x",CC19,CD19)+$C$22*IF(CC18="x",CC19,CC18)+$C$23*IF(CC20="x",CC19,CC20))+$B$9)</f>
        <v>-11.811280523264003</v>
      </c>
      <c r="CJ40" s="1">
        <f>IF(CC19="x","N/A",$B$8*($C$21*IF(CC20="x",CC19,CC20)+$C$22*IF(CB19="x",CC19,CB19)+$C$23*IF(CD19="x",CC19,CD19))+$B$9)</f>
        <v>-11.871410065408002</v>
      </c>
      <c r="CK40" s="1">
        <f>IF(CC19="x","N/A",$B$8*($C$21*IF(CB19="x",CC19,CB19)+$C$22*IF(CC18="x",CC19,CC18)+$C$23*IF(CC20="x",CC19,CC20))+$B$9)</f>
        <v>-11.880000000000003</v>
      </c>
      <c r="CN40" s="8" t="s">
        <v>25</v>
      </c>
      <c r="CO40" s="1">
        <f>IF(CJ19="x","N/A",$B$8*($C$21*IF(CJ18="x",CJ19,CJ18)+$C$22*IF(CI19="x",CJ19,CI19)+$C$23*IF(CK19="x",CJ19,CK19))+$B$9)</f>
        <v>-12.783327559966724</v>
      </c>
      <c r="CP40" s="1">
        <f>IF(CJ19="x","N/A",$B$8*($C$21*IF(CK19="x",CJ19,CK19)+$C$22*IF(CJ18="x",CJ19,CJ18)+$C$23*IF(CJ20="x",CJ19,CJ20))+$B$9)</f>
        <v>-12.602681235496963</v>
      </c>
      <c r="CQ40" s="1">
        <f>IF(CJ19="x","N/A",$B$8*($C$21*IF(CJ20="x",CJ19,CJ20)+$C$22*IF(CI19="x",CJ19,CI19)+$C$23*IF(CK19="x",CJ19,CK19))+$B$9)</f>
        <v>-12.783327559966724</v>
      </c>
      <c r="CR40" s="1">
        <f>IF(CJ19="x","N/A",$B$8*($C$21*IF(CI19="x",CJ19,CI19)+$C$22*IF(CJ18="x",CJ19,CJ18)+$C$23*IF(CJ20="x",CJ19,CJ20))+$B$9)</f>
        <v>-12.856256104652804</v>
      </c>
      <c r="CU40" s="8" t="s">
        <v>25</v>
      </c>
      <c r="CV40" s="1">
        <f>IF(CQ19="x","N/A",$B$8*($C$21*IF(CQ18="x",CQ19,CQ18)+$C$22*IF(CP19="x",CQ19,CP19)+$C$23*IF(CR19="x",CQ19,CR19))+$B$9)</f>
        <v>-13.568895706611716</v>
      </c>
      <c r="CW40" s="1">
        <f>IF(CQ19="x","N/A",$B$8*($C$21*IF(CR19="x",CQ19,CR19)+$C$22*IF(CQ18="x",CQ19,CQ18)+$C$23*IF(CQ20="x",CQ19,CQ20))+$B$9)</f>
        <v>-13.23252245792359</v>
      </c>
      <c r="CX40" s="1">
        <f>IF(CQ19="x","N/A",$B$8*($C$21*IF(CQ20="x",CQ19,CQ20)+$C$22*IF(CP19="x",CQ19,CP19)+$C$23*IF(CR19="x",CQ19,CR19))+$B$9)</f>
        <v>-13.568895706611716</v>
      </c>
      <c r="CY40" s="1">
        <f>IF(CQ19="x","N/A",$B$8*($C$21*IF(CP19="x",CQ19,CP19)+$C$22*IF(CQ18="x",CQ19,CQ18)+$C$23*IF(CQ20="x",CQ19,CQ20))+$B$9)</f>
        <v>-13.762555781988357</v>
      </c>
      <c r="DB40" s="8" t="s">
        <v>25</v>
      </c>
      <c r="DC40" s="1">
        <f>IF(CX19="x","N/A",$B$8*($C$21*IF(CX18="x",CX19,CX18)+$C$22*IF(CW19="x",CX19,CW19)+$C$23*IF(CY19="x",CX19,CY19))+$B$9)</f>
        <v>-14.197722457763028</v>
      </c>
      <c r="DD40" s="1">
        <f>IF(CX19="x","N/A",$B$8*($C$21*IF(CY19="x",CX19,CY19)+$C$22*IF(CX18="x",CX19,CX18)+$C$23*IF(CX20="x",CX19,CX20))+$B$9)</f>
        <v>-13.702020525282105</v>
      </c>
      <c r="DE40" s="1">
        <f>IF(CX19="x","N/A",$B$8*($C$21*IF(CX20="x",CX19,CX20)+$C$22*IF(CW19="x",CX19,CW19)+$C$23*IF(CY19="x",CX19,CY19))+$B$9)</f>
        <v>-14.197722457763028</v>
      </c>
      <c r="DF40" s="1">
        <f>IF(CX19="x","N/A",$B$8*($C$21*IF(CW19="x",CX19,CW19)+$C$22*IF(CX18="x",CX19,CX18)+$C$23*IF(CX20="x",CX19,CX20))+$B$9)</f>
        <v>-14.544624389280568</v>
      </c>
    </row>
    <row r="41" spans="8:110" x14ac:dyDescent="0.25">
      <c r="H41" s="8" t="s">
        <v>26</v>
      </c>
      <c r="I41" s="1">
        <f>IF(E14="x","N/A",$B$8*($C$21*IF(E13="x",E14,E13)+$C$22*IF(D14="x",E14,D14)+$C$23*IF(F14="x",E14,F14))+$B$9)</f>
        <v>1.0000000000000009E-2</v>
      </c>
      <c r="J41" s="1">
        <f>IF(E14="x","N/A",$B$8*($C$21*IF(F14="x",E14,F14)+$C$22*IF(E13="x",E14,E13)+$C$23*IF(E15="x",E14,E15))+$B$9)</f>
        <v>-8.9999999999999969E-2</v>
      </c>
      <c r="K41" s="1">
        <f>IF(E14="x","N/A",$B$8*($C$21*IF(E15="x",E14,E15)+$C$22*IF(D14="x",E14,D14)+$C$23*IF(F14="x",E14,F14))+$B$9)</f>
        <v>-0.79</v>
      </c>
      <c r="L41" s="1">
        <f>IF(E14="x","N/A",$B$8*($C$21*IF(D14="x",E14,D14)+$C$22*IF(E13="x",E14,E13)+$C$23*IF(E15="x",E14,E15))+$B$9)</f>
        <v>-8.9999999999999969E-2</v>
      </c>
      <c r="O41" s="8" t="s">
        <v>26</v>
      </c>
      <c r="P41" s="1">
        <f>IF(L14="x","N/A",$B$8*($C$21*IF(L13="x",L14,L13)+$C$22*IF(K14="x",L14,K14)+$C$23*IF(M14="x",L14,M14))+$B$9)</f>
        <v>1.0000000000000009E-2</v>
      </c>
      <c r="Q41" s="1">
        <f>IF(L14="x","N/A",$B$8*($C$21*IF(M14="x",L14,M14)+$C$22*IF(L13="x",L14,L13)+$C$23*IF(L15="x",L14,L15))+$B$9)</f>
        <v>-0.10899999999999999</v>
      </c>
      <c r="R41" s="1">
        <f>IF(L14="x","N/A",$B$8*($C$21*IF(L15="x",L14,L15)+$C$22*IF(K14="x",L14,K14)+$C$23*IF(M14="x",L14,M14))+$B$9)</f>
        <v>-0.94199999999999995</v>
      </c>
      <c r="S41" s="1">
        <f>IF(L14="x","N/A",$B$8*($C$21*IF(K14="x",L14,K14)+$C$22*IF(L13="x",L14,L13)+$C$23*IF(L15="x",L14,L15))+$B$9)</f>
        <v>-0.10899999999999999</v>
      </c>
      <c r="V41" s="8" t="s">
        <v>26</v>
      </c>
      <c r="W41" s="1">
        <f>IF(S14="x","N/A",$B$8*($C$21*IF(S13="x",S14,S13)+$C$22*IF(R14="x",S14,R14)+$C$23*IF(T14="x",S14,T14))+$B$9)</f>
        <v>1.0000000000000009E-2</v>
      </c>
      <c r="X41" s="1">
        <f>IF(S14="x","N/A",$B$8*($C$21*IF(T14="x",S14,T14)+$C$22*IF(S13="x",S14,S13)+$C$23*IF(S15="x",S14,S15))+$B$9)</f>
        <v>-0.12080000000000002</v>
      </c>
      <c r="Y41" s="1">
        <f>IF(S14="x","N/A",$B$8*($C$21*IF(S15="x",S14,S15)+$C$22*IF(R14="x",S14,R14)+$C$23*IF(T14="x",S14,T14))+$B$9)</f>
        <v>-1.0364</v>
      </c>
      <c r="Z41" s="1">
        <f>IF(S14="x","N/A",$B$8*($C$21*IF(R14="x",S14,R14)+$C$22*IF(S13="x",S14,S13)+$C$23*IF(S15="x",S14,S15))+$B$9)</f>
        <v>-0.12080000000000002</v>
      </c>
      <c r="AC41" s="8" t="s">
        <v>26</v>
      </c>
      <c r="AD41" s="1">
        <f>IF(Z14="x","N/A",$B$8*($C$21*IF(Z13="x",Z14,Z13)+$C$22*IF(Y14="x",Z14,Y14)+$C$23*IF(AA14="x",Z14,AA14))+$B$9)</f>
        <v>1.0000000000000009E-2</v>
      </c>
      <c r="AE41" s="1">
        <f>IF(Z14="x","N/A",$B$8*($C$21*IF(AA14="x",Z14,AA14)+$C$22*IF(Z13="x",Z14,Z13)+$C$23*IF(Z15="x",Z14,Z15))+$B$9)</f>
        <v>-0.12547999999999992</v>
      </c>
      <c r="AF41" s="1">
        <f>IF(Z14="x","N/A",$B$8*($C$21*IF(Z15="x",Z14,Z15)+$C$22*IF(Y14="x",Z14,Y14)+$C$23*IF(AA14="x",Z14,AA14))+$B$9)</f>
        <v>-1.0738400000000001</v>
      </c>
      <c r="AG41" s="1">
        <f>IF(Z14="x","N/A",$B$8*($C$21*IF(Y14="x",Z14,Y14)+$C$22*IF(Z13="x",Z14,Z13)+$C$23*IF(Z15="x",Z14,Z15))+$B$9)</f>
        <v>-0.12547999999999992</v>
      </c>
      <c r="AJ41" s="8" t="s">
        <v>26</v>
      </c>
      <c r="AK41" s="1">
        <f>IF(AG14="x","N/A",$B$8*($C$21*IF(AG13="x",AG14,AG13)+$C$22*IF(AF14="x",AG14,AF14)+$C$23*IF(AH14="x",AG14,AH14))+$B$9)</f>
        <v>1.0000000000000009E-2</v>
      </c>
      <c r="AL41" s="1">
        <f>IF(AG14="x","N/A",$B$8*($C$21*IF(AH14="x",AG14,AH14)+$C$22*IF(AG13="x",AG14,AG13)+$C$23*IF(AG15="x",AG14,AG15))+$B$9)</f>
        <v>-0.12759199999999993</v>
      </c>
      <c r="AM41" s="1">
        <f>IF(AG14="x","N/A",$B$8*($C$21*IF(AG15="x",AG14,AG15)+$C$22*IF(AF14="x",AG14,AF14)+$C$23*IF(AH14="x",AG14,AH14))+$B$9)</f>
        <v>-1.0907359999999999</v>
      </c>
      <c r="AN41" s="1">
        <f>IF(AG14="x","N/A",$B$8*($C$21*IF(AF14="x",AG14,AF14)+$C$22*IF(AG13="x",AG14,AG13)+$C$23*IF(AG15="x",AG14,AG15))+$B$9)</f>
        <v>-0.12759199999999993</v>
      </c>
      <c r="AQ41" s="8" t="s">
        <v>26</v>
      </c>
      <c r="AR41" s="1">
        <f>IF(AN14="x","N/A",$B$8*($C$21*IF(AN13="x",AN14,AN13)+$C$22*IF(AM14="x",AN14,AM14)+$C$23*IF(AO14="x",AN14,AO14))+$B$9)</f>
        <v>1.0000000000000009E-2</v>
      </c>
      <c r="AS41" s="1">
        <f>IF(AN14="x","N/A",$B$8*($C$21*IF(AO14="x",AN14,AO14)+$C$22*IF(AN13="x",AN14,AN13)+$C$23*IF(AN15="x",AN14,AN15))+$B$9)</f>
        <v>-0.12850640000000002</v>
      </c>
      <c r="AT41" s="1">
        <f>IF(AN14="x","N/A",$B$8*($C$21*IF(AN15="x",AN14,AN15)+$C$22*IF(AM14="x",AN14,AM14)+$C$23*IF(AO14="x",AN14,AO14))+$B$9)</f>
        <v>-1.0980512</v>
      </c>
      <c r="AU41" s="1">
        <f>IF(AN14="x","N/A",$B$8*($C$21*IF(AM14="x",AN14,AM14)+$C$22*IF(AN13="x",AN14,AN13)+$C$23*IF(AN15="x",AN14,AN15))+$B$9)</f>
        <v>-0.12850640000000002</v>
      </c>
      <c r="AX41" s="8" t="s">
        <v>26</v>
      </c>
      <c r="AY41" s="1">
        <f>IF(AU14="x","N/A",$B$8*($C$21*IF(AU13="x",AU14,AU13)+$C$22*IF(AT14="x",AU14,AT14)+$C$23*IF(AV14="x",AU14,AV14))+$B$9)</f>
        <v>1.0000000000000009E-2</v>
      </c>
      <c r="AZ41" s="1">
        <f>IF(AU14="x","N/A",$B$8*($C$21*IF(AV14="x",AU14,AV14)+$C$22*IF(AU13="x",AU14,AU13)+$C$23*IF(AU15="x",AU14,AU15))+$B$9)</f>
        <v>-0.12890743999999998</v>
      </c>
      <c r="BA41" s="1">
        <f>IF(AU14="x","N/A",$B$8*($C$21*IF(AU15="x",AU14,AU15)+$C$22*IF(AT14="x",AU14,AT14)+$C$23*IF(AV14="x",AU14,AV14))+$B$9)</f>
        <v>-1.1012595199999999</v>
      </c>
      <c r="BB41" s="1">
        <f>IF(AU14="x","N/A",$B$8*($C$21*IF(AT14="x",AU14,AT14)+$C$22*IF(AU13="x",AU14,AU13)+$C$23*IF(AU15="x",AU14,AU15))+$B$9)</f>
        <v>-0.12890743999999998</v>
      </c>
      <c r="BE41" s="8" t="s">
        <v>26</v>
      </c>
      <c r="BF41" s="1">
        <f>IF(BB14="x","N/A",$B$8*($C$21*IF(BB13="x",BB14,BB13)+$C$22*IF(BA14="x",BB14,BA14)+$C$23*IF(BC14="x",BB14,BC14))+$B$9)</f>
        <v>1.0000000000000009E-2</v>
      </c>
      <c r="BG41" s="1">
        <f>IF(BB14="x","N/A",$B$8*($C$21*IF(BC14="x",BB14,BC14)+$C$22*IF(BB13="x",BB14,BB13)+$C$23*IF(BB15="x",BB14,BB15))+$B$9)</f>
        <v>-0.12908261599999993</v>
      </c>
      <c r="BH41" s="1">
        <f>IF(BB14="x","N/A",$B$8*($C$21*IF(BB15="x",BB14,BB15)+$C$22*IF(BA14="x",BB14,BA14)+$C$23*IF(BC14="x",BB14,BC14))+$B$9)</f>
        <v>-1.1026609280000002</v>
      </c>
      <c r="BI41" s="1">
        <f>IF(BB14="x","N/A",$B$8*($C$21*IF(BA14="x",BB14,BA14)+$C$22*IF(BB13="x",BB14,BB13)+$C$23*IF(BB15="x",BB14,BB15))+$B$9)</f>
        <v>-0.12908261599999993</v>
      </c>
      <c r="BL41" s="8" t="s">
        <v>26</v>
      </c>
      <c r="BM41" s="1">
        <f>IF(BI14="x","N/A",$B$8*($C$21*IF(BI13="x",BI14,BI13)+$C$22*IF(BH14="x",BI14,BH14)+$C$23*IF(BJ14="x",BI14,BJ14))+$B$9)</f>
        <v>1.0000000000000009E-2</v>
      </c>
      <c r="BN41" s="1">
        <f>IF(BI14="x","N/A",$B$8*($C$21*IF(BJ14="x",BI14,BJ14)+$C$22*IF(BI13="x",BI14,BI13)+$C$23*IF(BI15="x",BI14,BI15))+$B$9)</f>
        <v>-0.12915923119999995</v>
      </c>
      <c r="BO41" s="1">
        <f>IF(BI14="x","N/A",$B$8*($C$21*IF(BI15="x",BI14,BI15)+$C$22*IF(BH14="x",BI14,BH14)+$C$23*IF(BJ14="x",BI14,BJ14))+$B$9)</f>
        <v>-1.1032738495999999</v>
      </c>
      <c r="BP41" s="1">
        <f>IF(BI14="x","N/A",$B$8*($C$21*IF(BH14="x",BI14,BH14)+$C$22*IF(BI13="x",BI14,BI13)+$C$23*IF(BI15="x",BI14,BI15))+$B$9)</f>
        <v>-0.12915923119999995</v>
      </c>
      <c r="BS41" s="8" t="s">
        <v>26</v>
      </c>
      <c r="BT41" s="1">
        <f>IF(BP14="x","N/A",$B$8*($C$21*IF(BP13="x",BP14,BP13)+$C$22*IF(BO14="x",BP14,BO14)+$C$23*IF(BQ14="x",BP14,BQ14))+$B$9)</f>
        <v>1.0000000000000009E-2</v>
      </c>
      <c r="BU41" s="1">
        <f>IF(BP14="x","N/A",$B$8*($C$21*IF(BQ14="x",BP14,BQ14)+$C$22*IF(BP13="x",BP14,BP13)+$C$23*IF(BP15="x",BP14,BP15))+$B$9)</f>
        <v>-0.12919272632000001</v>
      </c>
      <c r="BV41" s="1">
        <f>IF(BP14="x","N/A",$B$8*($C$21*IF(BP15="x",BP14,BP15)+$C$22*IF(BO14="x",BP14,BO14)+$C$23*IF(BQ14="x",BP14,BQ14))+$B$9)</f>
        <v>-1.1035418105599999</v>
      </c>
      <c r="BW41" s="1">
        <f>IF(BP14="x","N/A",$B$8*($C$21*IF(BO14="x",BP14,BO14)+$C$22*IF(BP13="x",BP14,BP13)+$C$23*IF(BP15="x",BP14,BP15))+$B$9)</f>
        <v>-0.12919272632000001</v>
      </c>
      <c r="BZ41" s="8" t="s">
        <v>26</v>
      </c>
      <c r="CA41" s="1">
        <f>IF(BW14="x","N/A",$B$8*($C$21*IF(BW13="x",BW14,BW13)+$C$22*IF(BV14="x",BW14,BV14)+$C$23*IF(BX14="x",BW14,BX14))+$B$9)</f>
        <v>1.0000000000000009E-2</v>
      </c>
      <c r="CB41" s="1">
        <f>IF(BW14="x","N/A",$B$8*($C$21*IF(BX14="x",BW14,BX14)+$C$22*IF(BW13="x",BW14,BW13)+$C$23*IF(BW15="x",BW14,BW15))+$B$9)</f>
        <v>-0.12920737176800001</v>
      </c>
      <c r="CC41" s="1">
        <f>IF(BW14="x","N/A",$B$8*($C$21*IF(BW15="x",BW14,BW15)+$C$22*IF(BV14="x",BW14,BV14)+$C$23*IF(BX14="x",BW14,BX14))+$B$9)</f>
        <v>-1.1036589741439999</v>
      </c>
      <c r="CD41" s="1">
        <f>IF(BW14="x","N/A",$B$8*($C$21*IF(BV14="x",BW14,BV14)+$C$22*IF(BW13="x",BW14,BW13)+$C$23*IF(BW15="x",BW14,BW15))+$B$9)</f>
        <v>-0.12920737176800001</v>
      </c>
      <c r="CG41" s="8" t="s">
        <v>26</v>
      </c>
      <c r="CH41" s="1">
        <f>IF(CD14="x","N/A",$B$8*($C$21*IF(CD13="x",CD14,CD13)+$C$22*IF(CC14="x",CD14,CC14)+$C$23*IF(CE14="x",CD14,CE14))+$B$9)</f>
        <v>1.0000000000000009E-2</v>
      </c>
      <c r="CI41" s="1">
        <f>IF(CD14="x","N/A",$B$8*($C$21*IF(CE14="x",CD14,CE14)+$C$22*IF(CD13="x",CD14,CD13)+$C$23*IF(CD15="x",CD14,CD15))+$B$9)</f>
        <v>-0.12921377510959997</v>
      </c>
      <c r="CJ41" s="1">
        <f>IF(CD14="x","N/A",$B$8*($C$21*IF(CD15="x",CD14,CD15)+$C$22*IF(CC14="x",CD14,CC14)+$C$23*IF(CE14="x",CD14,CE14))+$B$9)</f>
        <v>-1.1037102008768001</v>
      </c>
      <c r="CK41" s="1">
        <f>IF(CD14="x","N/A",$B$8*($C$21*IF(CC14="x",CD14,CC14)+$C$22*IF(CD13="x",CD14,CD13)+$C$23*IF(CD15="x",CD14,CD15))+$B$9)</f>
        <v>-0.12921377510959997</v>
      </c>
      <c r="CN41" s="8" t="s">
        <v>26</v>
      </c>
      <c r="CO41" s="1">
        <f>IF(CK14="x","N/A",$B$8*($C$21*IF(CK13="x",CK14,CK13)+$C$22*IF(CJ14="x",CK14,CJ14)+$C$23*IF(CL14="x",CK14,CL14))+$B$9)</f>
        <v>1.0000000000000009E-2</v>
      </c>
      <c r="CP41" s="1">
        <f>IF(CK14="x","N/A",$B$8*($C$21*IF(CL14="x",CK14,CL14)+$C$22*IF(CK13="x",CK14,CK13)+$C$23*IF(CK15="x",CK14,CK15))+$B$9)</f>
        <v>-0.12921657483895999</v>
      </c>
      <c r="CQ41" s="1">
        <f>IF(CK14="x","N/A",$B$8*($C$21*IF(CK15="x",CK14,CK15)+$C$22*IF(CJ14="x",CK14,CJ14)+$C$23*IF(CL14="x",CK14,CL14))+$B$9)</f>
        <v>-1.1037325987116799</v>
      </c>
      <c r="CR41" s="1">
        <f>IF(CK14="x","N/A",$B$8*($C$21*IF(CJ14="x",CK14,CJ14)+$C$22*IF(CK13="x",CK14,CK13)+$C$23*IF(CK15="x",CK14,CK15))+$B$9)</f>
        <v>-0.12921657483895999</v>
      </c>
      <c r="CU41" s="8" t="s">
        <v>26</v>
      </c>
      <c r="CV41" s="1">
        <f>IF(CR14="x","N/A",$B$8*($C$21*IF(CR13="x",CR14,CR13)+$C$22*IF(CQ14="x",CR14,CQ14)+$C$23*IF(CS14="x",CR14,CS14))+$B$9)</f>
        <v>1.0000000000000009E-2</v>
      </c>
      <c r="CW41" s="1">
        <f>IF(CR14="x","N/A",$B$8*($C$21*IF(CS14="x",CR14,CS14)+$C$22*IF(CR13="x",CR14,CR13)+$C$23*IF(CR15="x",CR14,CR15))+$B$9)</f>
        <v>-0.12921779895826391</v>
      </c>
      <c r="CX41" s="1">
        <f>IF(CR14="x","N/A",$B$8*($C$21*IF(CR15="x",CR14,CR15)+$C$22*IF(CQ14="x",CR14,CQ14)+$C$23*IF(CS14="x",CR14,CS14))+$B$9)</f>
        <v>-1.103742391666112</v>
      </c>
      <c r="CY41" s="1">
        <f>IF(CR14="x","N/A",$B$8*($C$21*IF(CQ14="x",CR14,CQ14)+$C$22*IF(CR13="x",CR14,CR13)+$C$23*IF(CR15="x",CR14,CR15))+$B$9)</f>
        <v>-0.12921779895826391</v>
      </c>
      <c r="DB41" s="8" t="s">
        <v>26</v>
      </c>
      <c r="DC41" s="1">
        <f>IF(CY14="x","N/A",$B$8*($C$21*IF(CY13="x",CY14,CY13)+$C$22*IF(CX14="x",CY14,CX14)+$C$23*IF(CZ14="x",CY14,CZ14))+$B$9)</f>
        <v>1.0000000000000009E-2</v>
      </c>
      <c r="DD41" s="1">
        <f>IF(CY14="x","N/A",$B$8*($C$21*IF(CZ14="x",CY14,CZ14)+$C$22*IF(CY13="x",CY14,CY13)+$C$23*IF(CY15="x",CY14,CY15))+$B$9)</f>
        <v>-0.12921833417781681</v>
      </c>
      <c r="DE41" s="1">
        <f>IF(CY14="x","N/A",$B$8*($C$21*IF(CY15="x",CY14,CY15)+$C$22*IF(CX14="x",CY14,CX14)+$C$23*IF(CZ14="x",CY14,CZ14))+$B$9)</f>
        <v>-1.1037466734225343</v>
      </c>
      <c r="DF41" s="1">
        <f>IF(CY14="x","N/A",$B$8*($C$21*IF(CX14="x",CY14,CX14)+$C$22*IF(CY13="x",CY14,CY13)+$C$23*IF(CY15="x",CY14,CY15))+$B$9)</f>
        <v>-0.12921833417781681</v>
      </c>
    </row>
    <row r="42" spans="8:110" x14ac:dyDescent="0.25">
      <c r="H42" s="8" t="s">
        <v>27</v>
      </c>
      <c r="I42" s="1">
        <f>IF(E15="x","N/A",$B$8*($C$21*IF(E14="x",E15,E14)+$C$22*IF(D15="x",E15,D15)+$C$23*IF(F15="x",E15,F15))+$B$9)</f>
        <v>-0.18999999999999995</v>
      </c>
      <c r="J42" s="1">
        <f>IF(E15="x","N/A",$B$8*($C$21*IF(F15="x",E15,F15)+$C$22*IF(E14="x",E15,E14)+$C$23*IF(E16="x",E15,E16))+$B$9)</f>
        <v>-0.89</v>
      </c>
      <c r="K42" s="1">
        <f>IF(E15="x","N/A",$B$8*($C$21*IF(E16="x",E15,E16)+$C$22*IF(D15="x",E15,D15)+$C$23*IF(F15="x",E15,F15))+$B$9)</f>
        <v>-0.99</v>
      </c>
      <c r="L42" s="1">
        <f>IF(E15="x","N/A",$B$8*($C$21*IF(D15="x",E15,D15)+$C$22*IF(E14="x",E15,E14)+$C$23*IF(E16="x",E15,E16))+$B$9)</f>
        <v>-0.89</v>
      </c>
      <c r="O42" s="8" t="s">
        <v>27</v>
      </c>
      <c r="P42" s="1">
        <f>IF(L15="x","N/A",$B$8*($C$21*IF(L14="x",L15,L14)+$C$22*IF(K15="x",L15,K15)+$C$23*IF(M15="x",L15,M15))+$B$9)</f>
        <v>-0.30799999999999994</v>
      </c>
      <c r="Q42" s="1">
        <f>IF(L15="x","N/A",$B$8*($C$21*IF(M15="x",L15,M15)+$C$22*IF(L14="x",L15,L14)+$C$23*IF(L16="x",L15,L16))+$B$9)</f>
        <v>-1.0609999999999999</v>
      </c>
      <c r="R42" s="1">
        <f>IF(L15="x","N/A",$B$8*($C$21*IF(L16="x",L15,L16)+$C$22*IF(K15="x",L15,K15)+$C$23*IF(M15="x",L15,M15))+$B$9)</f>
        <v>-1.26</v>
      </c>
      <c r="S42" s="1">
        <f>IF(L15="x","N/A",$B$8*($C$21*IF(K15="x",L15,K15)+$C$22*IF(L14="x",L15,L14)+$C$23*IF(L16="x",L15,L16))+$B$9)</f>
        <v>-1.7010000000000001</v>
      </c>
      <c r="V42" s="8" t="s">
        <v>27</v>
      </c>
      <c r="W42" s="1">
        <f>IF(S15="x","N/A",$B$8*($C$21*IF(S14="x",S15,S14)+$C$22*IF(R15="x",S15,R15)+$C$23*IF(T15="x",S15,T15))+$B$9)</f>
        <v>-0.3548</v>
      </c>
      <c r="X42" s="1">
        <f>IF(S15="x","N/A",$B$8*($C$21*IF(T15="x",S15,T15)+$C$22*IF(S14="x",S15,S14)+$C$23*IF(S16="x",S15,S16))+$B$9)</f>
        <v>-1.1672</v>
      </c>
      <c r="Y42" s="1">
        <f>IF(S15="x","N/A",$B$8*($C$21*IF(S16="x",S15,S16)+$C$22*IF(R15="x",S15,R15)+$C$23*IF(T15="x",S15,T15))+$B$9)</f>
        <v>-1.4012</v>
      </c>
      <c r="Z42" s="1">
        <f>IF(S15="x","N/A",$B$8*($C$21*IF(R15="x",S15,R15)+$C$22*IF(S14="x",S15,S14)+$C$23*IF(S16="x",S15,S16))+$B$9)</f>
        <v>-1.9927999999999999</v>
      </c>
      <c r="AC42" s="8" t="s">
        <v>27</v>
      </c>
      <c r="AD42" s="1">
        <f>IF(Z15="x","N/A",$B$8*($C$21*IF(Z14="x",Z15,Z14)+$C$22*IF(Y15="x",Z15,Y15)+$C$23*IF(AA15="x",Z15,AA15))+$B$9)</f>
        <v>-0.37591999999999992</v>
      </c>
      <c r="AE42" s="1">
        <f>IF(Z15="x","N/A",$B$8*($C$21*IF(AA15="x",Z15,AA15)+$C$22*IF(Z14="x",Z15,Z14)+$C$23*IF(Z16="x",Z15,Z16))+$B$9)</f>
        <v>-1.20932</v>
      </c>
      <c r="AF42" s="1">
        <f>IF(Z15="x","N/A",$B$8*($C$21*IF(Z16="x",Z15,Z16)+$C$22*IF(Y15="x",Z15,Y15)+$C$23*IF(AA15="x",Z15,AA15))+$B$9)</f>
        <v>-1.4597600000000002</v>
      </c>
      <c r="AG42" s="1">
        <f>IF(Z15="x","N/A",$B$8*($C$21*IF(Y15="x",Z15,Y15)+$C$22*IF(Z14="x",Z15,Z14)+$C$23*IF(Z16="x",Z15,Z16))+$B$9)</f>
        <v>-2.129</v>
      </c>
      <c r="AJ42" s="8" t="s">
        <v>27</v>
      </c>
      <c r="AK42" s="1">
        <f>IF(AG15="x","N/A",$B$8*($C$21*IF(AG14="x",AG15,AG14)+$C$22*IF(AF15="x",AG15,AF15)+$C$23*IF(AH15="x",AG15,AH15))+$B$9)</f>
        <v>-0.38506399999999996</v>
      </c>
      <c r="AL42" s="1">
        <f>IF(AG15="x","N/A",$B$8*($C$21*IF(AH15="x",AG15,AH15)+$C$22*IF(AG14="x",AG15,AG14)+$C$23*IF(AG16="x",AG15,AG16))+$B$9)</f>
        <v>-1.2283279999999999</v>
      </c>
      <c r="AM42" s="1">
        <f>IF(AG15="x","N/A",$B$8*($C$21*IF(AG16="x",AG15,AG16)+$C$22*IF(AF15="x",AG15,AF15)+$C$23*IF(AH15="x",AG15,AH15))+$B$9)</f>
        <v>-1.4858</v>
      </c>
      <c r="AN42" s="1">
        <f>IF(AG15="x","N/A",$B$8*($C$21*IF(AF15="x",AG15,AF15)+$C$22*IF(AG14="x",AG15,AG14)+$C$23*IF(AG16="x",AG15,AG16))+$B$9)</f>
        <v>-2.1873680000000002</v>
      </c>
      <c r="AQ42" s="8" t="s">
        <v>27</v>
      </c>
      <c r="AR42" s="1">
        <f>IF(AN15="x","N/A",$B$8*($C$21*IF(AN14="x",AN15,AN14)+$C$22*IF(AM15="x",AN15,AM15)+$C$23*IF(AO15="x",AN15,AO15))+$B$9)</f>
        <v>-0.38907439999999993</v>
      </c>
      <c r="AS42" s="1">
        <f>IF(AN15="x","N/A",$B$8*($C$21*IF(AO15="x",AN15,AO15)+$C$22*IF(AN14="x",AN15,AN14)+$C$23*IF(AN16="x",AN15,AN16))+$B$9)</f>
        <v>-1.2365576</v>
      </c>
      <c r="AT42" s="1">
        <f>IF(AN15="x","N/A",$B$8*($C$21*IF(AN16="x",AN15,AN16)+$C$22*IF(AM15="x",AN15,AM15)+$C$23*IF(AO15="x",AN15,AO15))+$B$9)</f>
        <v>-1.4971255999999999</v>
      </c>
      <c r="AU42" s="1">
        <f>IF(AN15="x","N/A",$B$8*($C$21*IF(AM15="x",AN15,AM15)+$C$22*IF(AN14="x",AN15,AN14)+$C$23*IF(AN16="x",AN15,AN16))+$B$9)</f>
        <v>-2.2130504000000002</v>
      </c>
      <c r="AX42" s="8" t="s">
        <v>27</v>
      </c>
      <c r="AY42" s="1">
        <f>IF(AU15="x","N/A",$B$8*($C$21*IF(AU14="x",AU15,AU14)+$C$22*IF(AT15="x",AU15,AT15)+$C$23*IF(AV15="x",AU15,AV15))+$B$9)</f>
        <v>-0.39082616000000003</v>
      </c>
      <c r="AZ42" s="1">
        <f>IF(AU15="x","N/A",$B$8*($C$21*IF(AV15="x",AU15,AV15)+$C$22*IF(AU14="x",AU15,AU14)+$C$23*IF(AU16="x",AU15,AU16))+$B$9)</f>
        <v>-1.2401669599999998</v>
      </c>
      <c r="BA42" s="1">
        <f>IF(AU15="x","N/A",$B$8*($C$21*IF(AU16="x",AU15,AU16)+$C$22*IF(AT15="x",AU15,AT15)+$C$23*IF(AV15="x",AU15,AV15))+$B$9)</f>
        <v>-1.50208568</v>
      </c>
      <c r="BB42" s="1">
        <f>IF(AU15="x","N/A",$B$8*($C$21*IF(AT15="x",AU15,AT15)+$C$22*IF(AU14="x",AU15,AU14)+$C$23*IF(AU16="x",AU15,AU16))+$B$9)</f>
        <v>-2.2242572000000003</v>
      </c>
      <c r="BE42" s="8" t="s">
        <v>27</v>
      </c>
      <c r="BF42" s="1">
        <f>IF(BB15="x","N/A",$B$8*($C$21*IF(BB14="x",BB15,BB14)+$C$22*IF(BA15="x",BB15,BA15)+$C$23*IF(BC15="x",BB15,BC15))+$B$9)</f>
        <v>-0.39159231199999989</v>
      </c>
      <c r="BG42" s="1">
        <f>IF(BB15="x","N/A",$B$8*($C$21*IF(BC15="x",BB15,BC15)+$C$22*IF(BB14="x",BB15,BB14)+$C$23*IF(BB16="x",BB15,BB16))+$B$9)</f>
        <v>-1.241743544</v>
      </c>
      <c r="BH42" s="1">
        <f>IF(BB15="x","N/A",$B$8*($C$21*IF(BB16="x",BB15,BB16)+$C$22*IF(BA15="x",BB15,BA15)+$C$23*IF(BC15="x",BB15,BC15))+$B$9)</f>
        <v>-1.5042532400000002</v>
      </c>
      <c r="BI42" s="1">
        <f>IF(BB15="x","N/A",$B$8*($C$21*IF(BA15="x",BB15,BA15)+$C$22*IF(BB14="x",BB15,BB14)+$C$23*IF(BB16="x",BB15,BB16))+$B$9)</f>
        <v>-2.2291601839999999</v>
      </c>
      <c r="BL42" s="8" t="s">
        <v>27</v>
      </c>
      <c r="BM42" s="1">
        <f>IF(BI15="x","N/A",$B$8*($C$21*IF(BI14="x",BI15,BI14)+$C$22*IF(BH15="x",BI15,BH15)+$C$23*IF(BJ15="x",BI15,BJ15))+$B$9)</f>
        <v>-0.39192726319999993</v>
      </c>
      <c r="BN42" s="1">
        <f>IF(BI15="x","N/A",$B$8*($C$21*IF(BJ15="x",BI15,BJ15)+$C$22*IF(BI14="x",BI15,BI14)+$C$23*IF(BI16="x",BI15,BI16))+$B$9)</f>
        <v>-1.2424330807999999</v>
      </c>
      <c r="BO42" s="1">
        <f>IF(BI15="x","N/A",$B$8*($C$21*IF(BI16="x",BI15,BI16)+$C$22*IF(BH15="x",BI15,BH15)+$C$23*IF(BJ15="x",BI15,BJ15))+$B$9)</f>
        <v>-1.5052011128</v>
      </c>
      <c r="BP42" s="1">
        <f>IF(BI15="x","N/A",$B$8*($C$21*IF(BH15="x",BI15,BH15)+$C$22*IF(BI14="x",BI15,BI14)+$C$23*IF(BI16="x",BI15,BI16))+$B$9)</f>
        <v>-2.2313034871999999</v>
      </c>
      <c r="BS42" s="8" t="s">
        <v>27</v>
      </c>
      <c r="BT42" s="1">
        <f>IF(BP15="x","N/A",$B$8*($C$21*IF(BP14="x",BP15,BP14)+$C$22*IF(BO15="x",BP15,BO15)+$C$23*IF(BQ15="x",BP15,BQ15))+$B$9)</f>
        <v>-0.39207371767999999</v>
      </c>
      <c r="BU42" s="1">
        <f>IF(BP15="x","N/A",$B$8*($C$21*IF(BQ15="x",BP15,BQ15)+$C$22*IF(BP14="x",BP15,BP14)+$C$23*IF(BP16="x",BP15,BP16))+$B$9)</f>
        <v>-1.24273453688</v>
      </c>
      <c r="BV42" s="1">
        <f>IF(BP15="x","N/A",$B$8*($C$21*IF(BP16="x",BP15,BP16)+$C$22*IF(BO15="x",BP15,BO15)+$C$23*IF(BQ15="x",BP15,BQ15))+$B$9)</f>
        <v>-1.5056155282399999</v>
      </c>
      <c r="BW42" s="1">
        <f>IF(BP15="x","N/A",$B$8*($C$21*IF(BO15="x",BP15,BO15)+$C$22*IF(BP14="x",BP15,BP14)+$C$23*IF(BP16="x",BP15,BP16))+$B$9)</f>
        <v>-2.2322406572000002</v>
      </c>
      <c r="BZ42" s="8" t="s">
        <v>27</v>
      </c>
      <c r="CA42" s="1">
        <f>IF(BW15="x","N/A",$B$8*($C$21*IF(BW14="x",BW15,BW14)+$C$22*IF(BV15="x",BW15,BV15)+$C$23*IF(BX15="x",BW15,BX15))+$B$9)</f>
        <v>-0.39213775109600002</v>
      </c>
      <c r="CB42" s="1">
        <f>IF(BW15="x","N/A",$B$8*($C$21*IF(BX15="x",BW15,BX15)+$C$22*IF(BW14="x",BW15,BW14)+$C$23*IF(BW16="x",BW15,BW16))+$B$9)</f>
        <v>-1.242866345912</v>
      </c>
      <c r="CC42" s="1">
        <f>IF(BW15="x","N/A",$B$8*($C$21*IF(BW16="x",BW15,BW16)+$C$22*IF(BV15="x",BW15,BV15)+$C$23*IF(BX15="x",BW15,BX15))+$B$9)</f>
        <v>-1.5057967252400002</v>
      </c>
      <c r="CD42" s="1">
        <f>IF(BW15="x","N/A",$B$8*($C$21*IF(BV15="x",BW15,BV15)+$C$22*IF(BW14="x",BW15,BW14)+$C$23*IF(BW16="x",BW15,BW16))+$B$9)</f>
        <v>-2.2326504063920001</v>
      </c>
      <c r="CG42" s="8" t="s">
        <v>27</v>
      </c>
      <c r="CH42" s="1">
        <f>IF(CD15="x","N/A",$B$8*($C$21*IF(CD14="x",CD15,CD14)+$C$22*IF(CC15="x",CD15,CC15)+$C$23*IF(CE15="x",CD15,CE15))+$B$9)</f>
        <v>-0.39216574838959994</v>
      </c>
      <c r="CI42" s="1">
        <f>IF(CD15="x","N/A",$B$8*($C$21*IF(CE15="x",CD15,CE15)+$C$22*IF(CD14="x",CD15,CD14)+$C$23*IF(CD16="x",CD15,CD16))+$B$9)</f>
        <v>-1.2429239759863999</v>
      </c>
      <c r="CJ42" s="1">
        <f>IF(CD15="x","N/A",$B$8*($C$21*IF(CD16="x",CD15,CD16)+$C$22*IF(CC15="x",CD15,CC15)+$C$23*IF(CE15="x",CD15,CE15))+$B$9)</f>
        <v>-1.5058759492664</v>
      </c>
      <c r="CK42" s="1">
        <f>IF(CD15="x","N/A",$B$8*($C$21*IF(CC15="x",CD15,CC15)+$C$22*IF(CD14="x",CD15,CD14)+$C$23*IF(CD16="x",CD15,CD16))+$B$9)</f>
        <v>-2.2328295613495999</v>
      </c>
      <c r="CN42" s="8" t="s">
        <v>27</v>
      </c>
      <c r="CO42" s="1">
        <f>IF(CK15="x","N/A",$B$8*($C$21*IF(CK14="x",CK15,CK14)+$C$22*IF(CJ15="x",CK15,CJ15)+$C$23*IF(CL15="x",CK15,CL15))+$B$9)</f>
        <v>-0.39217798958263994</v>
      </c>
      <c r="CP42" s="1">
        <f>IF(CK15="x","N/A",$B$8*($C$21*IF(CL15="x",CK15,CL15)+$C$22*IF(CK14="x",CK15,CK14)+$C$23*IF(CK16="x",CK15,CK16))+$B$9)</f>
        <v>-1.2429491735506399</v>
      </c>
      <c r="CQ42" s="1">
        <f>IF(CK15="x","N/A",$B$8*($C$21*IF(CK16="x",CK15,CK16)+$C$22*IF(CJ15="x",CK15,CJ15)+$C$23*IF(CL15="x",CK15,CL15))+$B$9)</f>
        <v>-1.50591058829432</v>
      </c>
      <c r="CR42" s="1">
        <f>IF(CK15="x","N/A",$B$8*($C$21*IF(CJ15="x",CK15,CJ15)+$C$22*IF(CK14="x",CK15,CK14)+$C$23*IF(CK16="x",CK15,CK16))+$B$9)</f>
        <v>-2.2329078927883996</v>
      </c>
      <c r="CU42" s="8" t="s">
        <v>27</v>
      </c>
      <c r="CV42" s="1">
        <f>IF(CR15="x","N/A",$B$8*($C$21*IF(CR14="x",CR15,CR14)+$C$22*IF(CQ15="x",CR15,CQ15)+$C$23*IF(CS15="x",CR15,CS15))+$B$9)</f>
        <v>-0.39218334177816794</v>
      </c>
      <c r="CW42" s="1">
        <f>IF(CR15="x","N/A",$B$8*($C$21*IF(CS15="x",CR15,CS15)+$C$22*IF(CR14="x",CR15,CR14)+$C$23*IF(CR16="x",CR15,CR16))+$B$9)</f>
        <v>-1.2429601906243759</v>
      </c>
      <c r="CX42" s="1">
        <f>IF(CR15="x","N/A",$B$8*($C$21*IF(CR16="x",CR15,CR16)+$C$22*IF(CQ15="x",CR15,CQ15)+$C$23*IF(CS15="x",CR15,CS15))+$B$9)</f>
        <v>-1.5059257334442799</v>
      </c>
      <c r="CY42" s="1">
        <f>IF(CR15="x","N/A",$B$8*($C$21*IF(CQ15="x",CR15,CQ15)+$C$22*IF(CR14="x",CR15,CR14)+$C$23*IF(CR16="x",CR15,CR16))+$B$9)</f>
        <v>-2.2329421415174959</v>
      </c>
      <c r="DB42" s="8" t="s">
        <v>27</v>
      </c>
      <c r="DC42" s="1">
        <f>IF(CY15="x","N/A",$B$8*($C$21*IF(CY14="x",CY15,CY14)+$C$22*IF(CX15="x",CY15,CX15)+$C$23*IF(CZ15="x",CY15,CZ15))+$B$9)</f>
        <v>-0.39218568190840875</v>
      </c>
      <c r="DD42" s="1">
        <f>IF(CY15="x","N/A",$B$8*($C$21*IF(CZ15="x",CY15,CZ15)+$C$22*IF(CY14="x",CY15,CY14)+$C$23*IF(CY16="x",CY15,CY16))+$B$9)</f>
        <v>-1.2429650076003511</v>
      </c>
      <c r="DE42" s="1">
        <f>IF(CY15="x","N/A",$B$8*($C$21*IF(CY16="x",CY15,CY16)+$C$22*IF(CX15="x",CY15,CX15)+$C$23*IF(CZ15="x",CY15,CZ15))+$B$9)</f>
        <v>-1.5059323553309432</v>
      </c>
      <c r="DF42" s="1">
        <f>IF(CY15="x","N/A",$B$8*($C$21*IF(CX15="x",CY15,CX15)+$C$22*IF(CY14="x",CY15,CY14)+$C$23*IF(CY16="x",CY15,CY16))+$B$9)</f>
        <v>-2.2329571160225528</v>
      </c>
    </row>
    <row r="43" spans="8:110" x14ac:dyDescent="0.25">
      <c r="H43" s="8" t="s">
        <v>28</v>
      </c>
      <c r="I43" s="1" t="str">
        <f>IF(E16="x","N/A",$B$8*($C$21*IF(E15="x",E16,E15)+$C$22*IF(D16="x",E16,D16)+$C$23*IF(F16="x",E16,F16))+$B$9)</f>
        <v>N/A</v>
      </c>
      <c r="J43" s="1" t="str">
        <f>IF(E16="x","N/A",$B$8*($C$21*IF(F16="x",E16,F16)+$C$22*IF(E15="x",E16,E15)+$C$23*IF(E17="x",E16,E17))+$B$9)</f>
        <v>N/A</v>
      </c>
      <c r="K43" s="1" t="str">
        <f>IF(E16="x","N/A",$B$8*($C$21*IF(E17="x",E16,E17)+$C$22*IF(D16="x",E16,D16)+$C$23*IF(F16="x",E16,F16))+$B$9)</f>
        <v>N/A</v>
      </c>
      <c r="L43" s="1" t="str">
        <f>IF(E16="x","N/A",$B$8*($C$21*IF(D16="x",E16,D16)+$C$22*IF(E15="x",E16,E15)+$C$23*IF(E17="x",E16,E17))+$B$9)</f>
        <v>N/A</v>
      </c>
      <c r="O43" s="8" t="s">
        <v>28</v>
      </c>
      <c r="P43" s="1" t="str">
        <f>IF(L16="x","N/A",$B$8*($C$21*IF(L15="x",L16,L15)+$C$22*IF(K16="x",L16,K16)+$C$23*IF(M16="x",L16,M16))+$B$9)</f>
        <v>N/A</v>
      </c>
      <c r="Q43" s="1" t="str">
        <f>IF(L16="x","N/A",$B$8*($C$21*IF(M16="x",L16,M16)+$C$22*IF(L15="x",L16,L15)+$C$23*IF(L17="x",L16,L17))+$B$9)</f>
        <v>N/A</v>
      </c>
      <c r="R43" s="1" t="str">
        <f>IF(L16="x","N/A",$B$8*($C$21*IF(L17="x",L16,L17)+$C$22*IF(K16="x",L16,K16)+$C$23*IF(M16="x",L16,M16))+$B$9)</f>
        <v>N/A</v>
      </c>
      <c r="S43" s="1" t="str">
        <f>IF(L16="x","N/A",$B$8*($C$21*IF(K16="x",L16,K16)+$C$22*IF(L15="x",L16,L15)+$C$23*IF(L17="x",L16,L17))+$B$9)</f>
        <v>N/A</v>
      </c>
      <c r="V43" s="8" t="s">
        <v>28</v>
      </c>
      <c r="W43" s="1" t="str">
        <f>IF(S16="x","N/A",$B$8*($C$21*IF(S15="x",S16,S15)+$C$22*IF(R16="x",S16,R16)+$C$23*IF(T16="x",S16,T16))+$B$9)</f>
        <v>N/A</v>
      </c>
      <c r="X43" s="1" t="str">
        <f>IF(S16="x","N/A",$B$8*($C$21*IF(T16="x",S16,T16)+$C$22*IF(S15="x",S16,S15)+$C$23*IF(S17="x",S16,S17))+$B$9)</f>
        <v>N/A</v>
      </c>
      <c r="Y43" s="1" t="str">
        <f>IF(S16="x","N/A",$B$8*($C$21*IF(S17="x",S16,S17)+$C$22*IF(R16="x",S16,R16)+$C$23*IF(T16="x",S16,T16))+$B$9)</f>
        <v>N/A</v>
      </c>
      <c r="Z43" s="1" t="str">
        <f>IF(S16="x","N/A",$B$8*($C$21*IF(R16="x",S16,R16)+$C$22*IF(S15="x",S16,S15)+$C$23*IF(S17="x",S16,S17))+$B$9)</f>
        <v>N/A</v>
      </c>
      <c r="AC43" s="8" t="s">
        <v>28</v>
      </c>
      <c r="AD43" s="1" t="str">
        <f>IF(Z16="x","N/A",$B$8*($C$21*IF(Z15="x",Z16,Z15)+$C$22*IF(Y16="x",Z16,Y16)+$C$23*IF(AA16="x",Z16,AA16))+$B$9)</f>
        <v>N/A</v>
      </c>
      <c r="AE43" s="1" t="str">
        <f>IF(Z16="x","N/A",$B$8*($C$21*IF(AA16="x",Z16,AA16)+$C$22*IF(Z15="x",Z16,Z15)+$C$23*IF(Z17="x",Z16,Z17))+$B$9)</f>
        <v>N/A</v>
      </c>
      <c r="AF43" s="1" t="str">
        <f>IF(Z16="x","N/A",$B$8*($C$21*IF(Z17="x",Z16,Z17)+$C$22*IF(Y16="x",Z16,Y16)+$C$23*IF(AA16="x",Z16,AA16))+$B$9)</f>
        <v>N/A</v>
      </c>
      <c r="AG43" s="1" t="str">
        <f>IF(Z16="x","N/A",$B$8*($C$21*IF(Y16="x",Z16,Y16)+$C$22*IF(Z15="x",Z16,Z15)+$C$23*IF(Z17="x",Z16,Z17))+$B$9)</f>
        <v>N/A</v>
      </c>
      <c r="AJ43" s="8" t="s">
        <v>28</v>
      </c>
      <c r="AK43" s="1" t="str">
        <f>IF(AG16="x","N/A",$B$8*($C$21*IF(AG15="x",AG16,AG15)+$C$22*IF(AF16="x",AG16,AF16)+$C$23*IF(AH16="x",AG16,AH16))+$B$9)</f>
        <v>N/A</v>
      </c>
      <c r="AL43" s="1" t="str">
        <f>IF(AG16="x","N/A",$B$8*($C$21*IF(AH16="x",AG16,AH16)+$C$22*IF(AG15="x",AG16,AG15)+$C$23*IF(AG17="x",AG16,AG17))+$B$9)</f>
        <v>N/A</v>
      </c>
      <c r="AM43" s="1" t="str">
        <f>IF(AG16="x","N/A",$B$8*($C$21*IF(AG17="x",AG16,AG17)+$C$22*IF(AF16="x",AG16,AF16)+$C$23*IF(AH16="x",AG16,AH16))+$B$9)</f>
        <v>N/A</v>
      </c>
      <c r="AN43" s="1" t="str">
        <f>IF(AG16="x","N/A",$B$8*($C$21*IF(AF16="x",AG16,AF16)+$C$22*IF(AG15="x",AG16,AG15)+$C$23*IF(AG17="x",AG16,AG17))+$B$9)</f>
        <v>N/A</v>
      </c>
      <c r="AQ43" s="8" t="s">
        <v>28</v>
      </c>
      <c r="AR43" s="1" t="str">
        <f>IF(AN16="x","N/A",$B$8*($C$21*IF(AN15="x",AN16,AN15)+$C$22*IF(AM16="x",AN16,AM16)+$C$23*IF(AO16="x",AN16,AO16))+$B$9)</f>
        <v>N/A</v>
      </c>
      <c r="AS43" s="1" t="str">
        <f>IF(AN16="x","N/A",$B$8*($C$21*IF(AO16="x",AN16,AO16)+$C$22*IF(AN15="x",AN16,AN15)+$C$23*IF(AN17="x",AN16,AN17))+$B$9)</f>
        <v>N/A</v>
      </c>
      <c r="AT43" s="1" t="str">
        <f>IF(AN16="x","N/A",$B$8*($C$21*IF(AN17="x",AN16,AN17)+$C$22*IF(AM16="x",AN16,AM16)+$C$23*IF(AO16="x",AN16,AO16))+$B$9)</f>
        <v>N/A</v>
      </c>
      <c r="AU43" s="1" t="str">
        <f>IF(AN16="x","N/A",$B$8*($C$21*IF(AM16="x",AN16,AM16)+$C$22*IF(AN15="x",AN16,AN15)+$C$23*IF(AN17="x",AN16,AN17))+$B$9)</f>
        <v>N/A</v>
      </c>
      <c r="AX43" s="8" t="s">
        <v>28</v>
      </c>
      <c r="AY43" s="1" t="str">
        <f>IF(AU16="x","N/A",$B$8*($C$21*IF(AU15="x",AU16,AU15)+$C$22*IF(AT16="x",AU16,AT16)+$C$23*IF(AV16="x",AU16,AV16))+$B$9)</f>
        <v>N/A</v>
      </c>
      <c r="AZ43" s="1" t="str">
        <f>IF(AU16="x","N/A",$B$8*($C$21*IF(AV16="x",AU16,AV16)+$C$22*IF(AU15="x",AU16,AU15)+$C$23*IF(AU17="x",AU16,AU17))+$B$9)</f>
        <v>N/A</v>
      </c>
      <c r="BA43" s="1" t="str">
        <f>IF(AU16="x","N/A",$B$8*($C$21*IF(AU17="x",AU16,AU17)+$C$22*IF(AT16="x",AU16,AT16)+$C$23*IF(AV16="x",AU16,AV16))+$B$9)</f>
        <v>N/A</v>
      </c>
      <c r="BB43" s="1" t="str">
        <f>IF(AU16="x","N/A",$B$8*($C$21*IF(AT16="x",AU16,AT16)+$C$22*IF(AU15="x",AU16,AU15)+$C$23*IF(AU17="x",AU16,AU17))+$B$9)</f>
        <v>N/A</v>
      </c>
      <c r="BE43" s="8" t="s">
        <v>28</v>
      </c>
      <c r="BF43" s="1" t="str">
        <f>IF(BB16="x","N/A",$B$8*($C$21*IF(BB15="x",BB16,BB15)+$C$22*IF(BA16="x",BB16,BA16)+$C$23*IF(BC16="x",BB16,BC16))+$B$9)</f>
        <v>N/A</v>
      </c>
      <c r="BG43" s="1" t="str">
        <f>IF(BB16="x","N/A",$B$8*($C$21*IF(BC16="x",BB16,BC16)+$C$22*IF(BB15="x",BB16,BB15)+$C$23*IF(BB17="x",BB16,BB17))+$B$9)</f>
        <v>N/A</v>
      </c>
      <c r="BH43" s="1" t="str">
        <f>IF(BB16="x","N/A",$B$8*($C$21*IF(BB17="x",BB16,BB17)+$C$22*IF(BA16="x",BB16,BA16)+$C$23*IF(BC16="x",BB16,BC16))+$B$9)</f>
        <v>N/A</v>
      </c>
      <c r="BI43" s="1" t="str">
        <f>IF(BB16="x","N/A",$B$8*($C$21*IF(BA16="x",BB16,BA16)+$C$22*IF(BB15="x",BB16,BB15)+$C$23*IF(BB17="x",BB16,BB17))+$B$9)</f>
        <v>N/A</v>
      </c>
      <c r="BL43" s="8" t="s">
        <v>28</v>
      </c>
      <c r="BM43" s="1" t="str">
        <f>IF(BI16="x","N/A",$B$8*($C$21*IF(BI15="x",BI16,BI15)+$C$22*IF(BH16="x",BI16,BH16)+$C$23*IF(BJ16="x",BI16,BJ16))+$B$9)</f>
        <v>N/A</v>
      </c>
      <c r="BN43" s="1" t="str">
        <f>IF(BI16="x","N/A",$B$8*($C$21*IF(BJ16="x",BI16,BJ16)+$C$22*IF(BI15="x",BI16,BI15)+$C$23*IF(BI17="x",BI16,BI17))+$B$9)</f>
        <v>N/A</v>
      </c>
      <c r="BO43" s="1" t="str">
        <f>IF(BI16="x","N/A",$B$8*($C$21*IF(BI17="x",BI16,BI17)+$C$22*IF(BH16="x",BI16,BH16)+$C$23*IF(BJ16="x",BI16,BJ16))+$B$9)</f>
        <v>N/A</v>
      </c>
      <c r="BP43" s="1" t="str">
        <f>IF(BI16="x","N/A",$B$8*($C$21*IF(BH16="x",BI16,BH16)+$C$22*IF(BI15="x",BI16,BI15)+$C$23*IF(BI17="x",BI16,BI17))+$B$9)</f>
        <v>N/A</v>
      </c>
      <c r="BS43" s="8" t="s">
        <v>28</v>
      </c>
      <c r="BT43" s="1" t="str">
        <f>IF(BP16="x","N/A",$B$8*($C$21*IF(BP15="x",BP16,BP15)+$C$22*IF(BO16="x",BP16,BO16)+$C$23*IF(BQ16="x",BP16,BQ16))+$B$9)</f>
        <v>N/A</v>
      </c>
      <c r="BU43" s="1" t="str">
        <f>IF(BP16="x","N/A",$B$8*($C$21*IF(BQ16="x",BP16,BQ16)+$C$22*IF(BP15="x",BP16,BP15)+$C$23*IF(BP17="x",BP16,BP17))+$B$9)</f>
        <v>N/A</v>
      </c>
      <c r="BV43" s="1" t="str">
        <f>IF(BP16="x","N/A",$B$8*($C$21*IF(BP17="x",BP16,BP17)+$C$22*IF(BO16="x",BP16,BO16)+$C$23*IF(BQ16="x",BP16,BQ16))+$B$9)</f>
        <v>N/A</v>
      </c>
      <c r="BW43" s="1" t="str">
        <f>IF(BP16="x","N/A",$B$8*($C$21*IF(BO16="x",BP16,BO16)+$C$22*IF(BP15="x",BP16,BP15)+$C$23*IF(BP17="x",BP16,BP17))+$B$9)</f>
        <v>N/A</v>
      </c>
      <c r="BZ43" s="8" t="s">
        <v>28</v>
      </c>
      <c r="CA43" s="1" t="str">
        <f>IF(BW16="x","N/A",$B$8*($C$21*IF(BW15="x",BW16,BW15)+$C$22*IF(BV16="x",BW16,BV16)+$C$23*IF(BX16="x",BW16,BX16))+$B$9)</f>
        <v>N/A</v>
      </c>
      <c r="CB43" s="1" t="str">
        <f>IF(BW16="x","N/A",$B$8*($C$21*IF(BX16="x",BW16,BX16)+$C$22*IF(BW15="x",BW16,BW15)+$C$23*IF(BW17="x",BW16,BW17))+$B$9)</f>
        <v>N/A</v>
      </c>
      <c r="CC43" s="1" t="str">
        <f>IF(BW16="x","N/A",$B$8*($C$21*IF(BW17="x",BW16,BW17)+$C$22*IF(BV16="x",BW16,BV16)+$C$23*IF(BX16="x",BW16,BX16))+$B$9)</f>
        <v>N/A</v>
      </c>
      <c r="CD43" s="1" t="str">
        <f>IF(BW16="x","N/A",$B$8*($C$21*IF(BV16="x",BW16,BV16)+$C$22*IF(BW15="x",BW16,BW15)+$C$23*IF(BW17="x",BW16,BW17))+$B$9)</f>
        <v>N/A</v>
      </c>
      <c r="CG43" s="8" t="s">
        <v>28</v>
      </c>
      <c r="CH43" s="1" t="str">
        <f>IF(CD16="x","N/A",$B$8*($C$21*IF(CD15="x",CD16,CD15)+$C$22*IF(CC16="x",CD16,CC16)+$C$23*IF(CE16="x",CD16,CE16))+$B$9)</f>
        <v>N/A</v>
      </c>
      <c r="CI43" s="1" t="str">
        <f>IF(CD16="x","N/A",$B$8*($C$21*IF(CE16="x",CD16,CE16)+$C$22*IF(CD15="x",CD16,CD15)+$C$23*IF(CD17="x",CD16,CD17))+$B$9)</f>
        <v>N/A</v>
      </c>
      <c r="CJ43" s="1" t="str">
        <f>IF(CD16="x","N/A",$B$8*($C$21*IF(CD17="x",CD16,CD17)+$C$22*IF(CC16="x",CD16,CC16)+$C$23*IF(CE16="x",CD16,CE16))+$B$9)</f>
        <v>N/A</v>
      </c>
      <c r="CK43" s="1" t="str">
        <f>IF(CD16="x","N/A",$B$8*($C$21*IF(CC16="x",CD16,CC16)+$C$22*IF(CD15="x",CD16,CD15)+$C$23*IF(CD17="x",CD16,CD17))+$B$9)</f>
        <v>N/A</v>
      </c>
      <c r="CN43" s="8" t="s">
        <v>28</v>
      </c>
      <c r="CO43" s="1" t="str">
        <f>IF(CK16="x","N/A",$B$8*($C$21*IF(CK15="x",CK16,CK15)+$C$22*IF(CJ16="x",CK16,CJ16)+$C$23*IF(CL16="x",CK16,CL16))+$B$9)</f>
        <v>N/A</v>
      </c>
      <c r="CP43" s="1" t="str">
        <f>IF(CK16="x","N/A",$B$8*($C$21*IF(CL16="x",CK16,CL16)+$C$22*IF(CK15="x",CK16,CK15)+$C$23*IF(CK17="x",CK16,CK17))+$B$9)</f>
        <v>N/A</v>
      </c>
      <c r="CQ43" s="1" t="str">
        <f>IF(CK16="x","N/A",$B$8*($C$21*IF(CK17="x",CK16,CK17)+$C$22*IF(CJ16="x",CK16,CJ16)+$C$23*IF(CL16="x",CK16,CL16))+$B$9)</f>
        <v>N/A</v>
      </c>
      <c r="CR43" s="1" t="str">
        <f>IF(CK16="x","N/A",$B$8*($C$21*IF(CJ16="x",CK16,CJ16)+$C$22*IF(CK15="x",CK16,CK15)+$C$23*IF(CK17="x",CK16,CK17))+$B$9)</f>
        <v>N/A</v>
      </c>
      <c r="CU43" s="8" t="s">
        <v>28</v>
      </c>
      <c r="CV43" s="1" t="str">
        <f>IF(CR16="x","N/A",$B$8*($C$21*IF(CR15="x",CR16,CR15)+$C$22*IF(CQ16="x",CR16,CQ16)+$C$23*IF(CS16="x",CR16,CS16))+$B$9)</f>
        <v>N/A</v>
      </c>
      <c r="CW43" s="1" t="str">
        <f>IF(CR16="x","N/A",$B$8*($C$21*IF(CS16="x",CR16,CS16)+$C$22*IF(CR15="x",CR16,CR15)+$C$23*IF(CR17="x",CR16,CR17))+$B$9)</f>
        <v>N/A</v>
      </c>
      <c r="CX43" s="1" t="str">
        <f>IF(CR16="x","N/A",$B$8*($C$21*IF(CR17="x",CR16,CR17)+$C$22*IF(CQ16="x",CR16,CQ16)+$C$23*IF(CS16="x",CR16,CS16))+$B$9)</f>
        <v>N/A</v>
      </c>
      <c r="CY43" s="1" t="str">
        <f>IF(CR16="x","N/A",$B$8*($C$21*IF(CQ16="x",CR16,CQ16)+$C$22*IF(CR15="x",CR16,CR15)+$C$23*IF(CR17="x",CR16,CR17))+$B$9)</f>
        <v>N/A</v>
      </c>
      <c r="DB43" s="8" t="s">
        <v>28</v>
      </c>
      <c r="DC43" s="1" t="str">
        <f>IF(CY16="x","N/A",$B$8*($C$21*IF(CY15="x",CY16,CY15)+$C$22*IF(CX16="x",CY16,CX16)+$C$23*IF(CZ16="x",CY16,CZ16))+$B$9)</f>
        <v>N/A</v>
      </c>
      <c r="DD43" s="1" t="str">
        <f>IF(CY16="x","N/A",$B$8*($C$21*IF(CZ16="x",CY16,CZ16)+$C$22*IF(CY15="x",CY16,CY15)+$C$23*IF(CY17="x",CY16,CY17))+$B$9)</f>
        <v>N/A</v>
      </c>
      <c r="DE43" s="1" t="str">
        <f>IF(CY16="x","N/A",$B$8*($C$21*IF(CY17="x",CY16,CY17)+$C$22*IF(CX16="x",CY16,CX16)+$C$23*IF(CZ16="x",CY16,CZ16))+$B$9)</f>
        <v>N/A</v>
      </c>
      <c r="DF43" s="1" t="str">
        <f>IF(CY16="x","N/A",$B$8*($C$21*IF(CX16="x",CY16,CX16)+$C$22*IF(CY15="x",CY16,CY15)+$C$23*IF(CY17="x",CY16,CY17))+$B$9)</f>
        <v>N/A</v>
      </c>
    </row>
    <row r="44" spans="8:110" x14ac:dyDescent="0.25">
      <c r="H44" s="8" t="s">
        <v>11</v>
      </c>
      <c r="I44" s="1">
        <f>IF(E17="x","N/A",$B$8*($C$21*IF(E16="x",E17,E16)+$C$22*IF(D17="x",E17,D17)+$C$23*IF(F17="x",E17,F17))+$B$9)</f>
        <v>-0.99</v>
      </c>
      <c r="J44" s="1">
        <f>IF(E17="x","N/A",$B$8*($C$21*IF(F17="x",E17,F17)+$C$22*IF(E16="x",E17,E16)+$C$23*IF(E18="x",E17,E18))+$B$9)</f>
        <v>-0.99</v>
      </c>
      <c r="K44" s="1">
        <f>IF(E17="x","N/A",$B$8*($C$21*IF(E18="x",E17,E18)+$C$22*IF(D17="x",E17,D17)+$C$23*IF(F17="x",E17,F17))+$B$9)</f>
        <v>-0.99</v>
      </c>
      <c r="L44" s="1">
        <f>IF(E17="x","N/A",$B$8*($C$21*IF(D17="x",E17,D17)+$C$22*IF(E16="x",E17,E16)+$C$23*IF(E18="x",E17,E18))+$B$9)</f>
        <v>-0.99</v>
      </c>
      <c r="O44" s="8" t="s">
        <v>11</v>
      </c>
      <c r="P44" s="1">
        <f>IF(L17="x","N/A",$B$8*($C$21*IF(L16="x",L17,L16)+$C$22*IF(K17="x",L17,K17)+$C$23*IF(M17="x",L17,M17))+$B$9)</f>
        <v>-1.98</v>
      </c>
      <c r="Q44" s="1">
        <f>IF(L17="x","N/A",$B$8*($C$21*IF(M17="x",L17,M17)+$C$22*IF(L16="x",L17,L16)+$C$23*IF(L18="x",L17,L18))+$B$9)</f>
        <v>-1.98</v>
      </c>
      <c r="R44" s="1">
        <f>IF(L17="x","N/A",$B$8*($C$21*IF(L18="x",L17,L18)+$C$22*IF(K17="x",L17,K17)+$C$23*IF(M17="x",L17,M17))+$B$9)</f>
        <v>-1.98</v>
      </c>
      <c r="S44" s="1">
        <f>IF(L17="x","N/A",$B$8*($C$21*IF(K17="x",L17,K17)+$C$22*IF(L16="x",L17,L16)+$C$23*IF(L18="x",L17,L18))+$B$9)</f>
        <v>-1.98</v>
      </c>
      <c r="V44" s="8" t="s">
        <v>11</v>
      </c>
      <c r="W44" s="1">
        <f>IF(S17="x","N/A",$B$8*($C$21*IF(S16="x",S17,S16)+$C$22*IF(R17="x",S17,R17)+$C$23*IF(T17="x",S17,T17))+$B$9)</f>
        <v>-2.9699999999999998</v>
      </c>
      <c r="X44" s="1">
        <f>IF(S17="x","N/A",$B$8*($C$21*IF(T17="x",S17,T17)+$C$22*IF(S16="x",S17,S16)+$C$23*IF(S18="x",S17,S18))+$B$9)</f>
        <v>-2.9699999999999998</v>
      </c>
      <c r="Y44" s="1">
        <f>IF(S17="x","N/A",$B$8*($C$21*IF(S18="x",S17,S18)+$C$22*IF(R17="x",S17,R17)+$C$23*IF(T17="x",S17,T17))+$B$9)</f>
        <v>-2.9699999999999998</v>
      </c>
      <c r="Z44" s="1">
        <f>IF(S17="x","N/A",$B$8*($C$21*IF(R17="x",S17,R17)+$C$22*IF(S16="x",S17,S16)+$C$23*IF(S18="x",S17,S18))+$B$9)</f>
        <v>-2.9699999999999998</v>
      </c>
      <c r="AC44" s="8" t="s">
        <v>11</v>
      </c>
      <c r="AD44" s="1">
        <f>IF(Z17="x","N/A",$B$8*($C$21*IF(Z16="x",Z17,Z16)+$C$22*IF(Y17="x",Z17,Y17)+$C$23*IF(AA17="x",Z17,AA17))+$B$9)</f>
        <v>-3.96</v>
      </c>
      <c r="AE44" s="1">
        <f>IF(Z17="x","N/A",$B$8*($C$21*IF(AA17="x",Z17,AA17)+$C$22*IF(Z16="x",Z17,Z16)+$C$23*IF(Z18="x",Z17,Z18))+$B$9)</f>
        <v>-3.96</v>
      </c>
      <c r="AF44" s="1">
        <f>IF(Z17="x","N/A",$B$8*($C$21*IF(Z18="x",Z17,Z18)+$C$22*IF(Y17="x",Z17,Y17)+$C$23*IF(AA17="x",Z17,AA17))+$B$9)</f>
        <v>-3.96</v>
      </c>
      <c r="AG44" s="1">
        <f>IF(Z17="x","N/A",$B$8*($C$21*IF(Y17="x",Z17,Y17)+$C$22*IF(Z16="x",Z17,Z16)+$C$23*IF(Z18="x",Z17,Z18))+$B$9)</f>
        <v>-3.96</v>
      </c>
      <c r="AJ44" s="8" t="s">
        <v>11</v>
      </c>
      <c r="AK44" s="1">
        <f>IF(AG17="x","N/A",$B$8*($C$21*IF(AG16="x",AG17,AG16)+$C$22*IF(AF17="x",AG17,AF17)+$C$23*IF(AH17="x",AG17,AH17))+$B$9)</f>
        <v>-4.95</v>
      </c>
      <c r="AL44" s="1">
        <f>IF(AG17="x","N/A",$B$8*($C$21*IF(AH17="x",AG17,AH17)+$C$22*IF(AG16="x",AG17,AG16)+$C$23*IF(AG18="x",AG17,AG18))+$B$9)</f>
        <v>-4.95</v>
      </c>
      <c r="AM44" s="1">
        <f>IF(AG17="x","N/A",$B$8*($C$21*IF(AG18="x",AG17,AG18)+$C$22*IF(AF17="x",AG17,AF17)+$C$23*IF(AH17="x",AG17,AH17))+$B$9)</f>
        <v>-4.95</v>
      </c>
      <c r="AN44" s="1">
        <f>IF(AG17="x","N/A",$B$8*($C$21*IF(AF17="x",AG17,AF17)+$C$22*IF(AG16="x",AG17,AG16)+$C$23*IF(AG18="x",AG17,AG18))+$B$9)</f>
        <v>-4.95</v>
      </c>
      <c r="AQ44" s="8" t="s">
        <v>11</v>
      </c>
      <c r="AR44" s="1">
        <f>IF(AN17="x","N/A",$B$8*($C$21*IF(AN16="x",AN17,AN16)+$C$22*IF(AM17="x",AN17,AM17)+$C$23*IF(AO17="x",AN17,AO17))+$B$9)</f>
        <v>-5.94</v>
      </c>
      <c r="AS44" s="1">
        <f>IF(AN17="x","N/A",$B$8*($C$21*IF(AO17="x",AN17,AO17)+$C$22*IF(AN16="x",AN17,AN16)+$C$23*IF(AN18="x",AN17,AN18))+$B$9)</f>
        <v>-5.94</v>
      </c>
      <c r="AT44" s="1">
        <f>IF(AN17="x","N/A",$B$8*($C$21*IF(AN18="x",AN17,AN18)+$C$22*IF(AM17="x",AN17,AM17)+$C$23*IF(AO17="x",AN17,AO17))+$B$9)</f>
        <v>-5.94</v>
      </c>
      <c r="AU44" s="1">
        <f>IF(AN17="x","N/A",$B$8*($C$21*IF(AM17="x",AN17,AM17)+$C$22*IF(AN16="x",AN17,AN16)+$C$23*IF(AN18="x",AN17,AN18))+$B$9)</f>
        <v>-5.94</v>
      </c>
      <c r="AX44" s="8" t="s">
        <v>11</v>
      </c>
      <c r="AY44" s="1">
        <f>IF(AU17="x","N/A",$B$8*($C$21*IF(AU16="x",AU17,AU16)+$C$22*IF(AT17="x",AU17,AT17)+$C$23*IF(AV17="x",AU17,AV17))+$B$9)</f>
        <v>-6.9300000000000015</v>
      </c>
      <c r="AZ44" s="1">
        <f>IF(AU17="x","N/A",$B$8*($C$21*IF(AV17="x",AU17,AV17)+$C$22*IF(AU16="x",AU17,AU16)+$C$23*IF(AU18="x",AU17,AU18))+$B$9)</f>
        <v>-6.9300000000000015</v>
      </c>
      <c r="BA44" s="1">
        <f>IF(AU17="x","N/A",$B$8*($C$21*IF(AU18="x",AU17,AU18)+$C$22*IF(AT17="x",AU17,AT17)+$C$23*IF(AV17="x",AU17,AV17))+$B$9)</f>
        <v>-6.9300000000000015</v>
      </c>
      <c r="BB44" s="1">
        <f>IF(AU17="x","N/A",$B$8*($C$21*IF(AT17="x",AU17,AT17)+$C$22*IF(AU16="x",AU17,AU16)+$C$23*IF(AU18="x",AU17,AU18))+$B$9)</f>
        <v>-6.9300000000000015</v>
      </c>
      <c r="BE44" s="8" t="s">
        <v>11</v>
      </c>
      <c r="BF44" s="1">
        <f>IF(BB17="x","N/A",$B$8*($C$21*IF(BB16="x",BB17,BB16)+$C$22*IF(BA17="x",BB17,BA17)+$C$23*IF(BC17="x",BB17,BC17))+$B$9)</f>
        <v>-7.9200000000000026</v>
      </c>
      <c r="BG44" s="1">
        <f>IF(BB17="x","N/A",$B$8*($C$21*IF(BC17="x",BB17,BC17)+$C$22*IF(BB16="x",BB17,BB16)+$C$23*IF(BB18="x",BB17,BB18))+$B$9)</f>
        <v>-7.9200000000000026</v>
      </c>
      <c r="BH44" s="1">
        <f>IF(BB17="x","N/A",$B$8*($C$21*IF(BB18="x",BB17,BB18)+$C$22*IF(BA17="x",BB17,BA17)+$C$23*IF(BC17="x",BB17,BC17))+$B$9)</f>
        <v>-7.9200000000000026</v>
      </c>
      <c r="BI44" s="1">
        <f>IF(BB17="x","N/A",$B$8*($C$21*IF(BA17="x",BB17,BA17)+$C$22*IF(BB16="x",BB17,BB16)+$C$23*IF(BB18="x",BB17,BB18))+$B$9)</f>
        <v>-7.9200000000000026</v>
      </c>
      <c r="BL44" s="8" t="s">
        <v>11</v>
      </c>
      <c r="BM44" s="1">
        <f>IF(BI17="x","N/A",$B$8*($C$21*IF(BI16="x",BI17,BI16)+$C$22*IF(BH17="x",BI17,BH17)+$C$23*IF(BJ17="x",BI17,BJ17))+$B$9)</f>
        <v>-8.8932227840000024</v>
      </c>
      <c r="BN44" s="1">
        <f>IF(BI17="x","N/A",$B$8*($C$21*IF(BJ17="x",BI17,BJ17)+$C$22*IF(BI16="x",BI17,BI16)+$C$23*IF(BI18="x",BI17,BI18))+$B$9)</f>
        <v>-8.9100000000000019</v>
      </c>
      <c r="BO44" s="1">
        <f>IF(BI17="x","N/A",$B$8*($C$21*IF(BI18="x",BI17,BI18)+$C$22*IF(BH17="x",BI17,BH17)+$C$23*IF(BJ17="x",BI17,BJ17))+$B$9)</f>
        <v>-8.8932227840000024</v>
      </c>
      <c r="BP44" s="1">
        <f>IF(BI17="x","N/A",$B$8*($C$21*IF(BH17="x",BI17,BH17)+$C$22*IF(BI16="x",BI17,BI16)+$C$23*IF(BI18="x",BI17,BI18))+$B$9)</f>
        <v>-8.7757822720000025</v>
      </c>
      <c r="BS44" s="8" t="s">
        <v>11</v>
      </c>
      <c r="BT44" s="1">
        <f>IF(BP17="x","N/A",$B$8*($C$21*IF(BP16="x",BP17,BP16)+$C$22*IF(BO17="x",BP17,BO17)+$C$23*IF(BQ17="x",BP17,BQ17))+$B$9)</f>
        <v>-9.7240070041600042</v>
      </c>
      <c r="BU44" s="1">
        <f>IF(BP17="x","N/A",$B$8*($C$21*IF(BQ17="x",BP17,BQ17)+$C$22*IF(BP16="x",BP17,BP16)+$C$23*IF(BP18="x",BP17,BP18))+$B$9)</f>
        <v>-9.7792040448000037</v>
      </c>
      <c r="BV44" s="1">
        <f>IF(BP17="x","N/A",$B$8*($C$21*IF(BP18="x",BP17,BP18)+$C$22*IF(BO17="x",BP17,BO17)+$C$23*IF(BQ17="x",BP17,BQ17))+$B$9)</f>
        <v>-9.8313811865600034</v>
      </c>
      <c r="BW44" s="1">
        <f>IF(BP17="x","N/A",$B$8*($C$21*IF(BO17="x",BP17,BO17)+$C$22*IF(BP16="x",BP17,BP16)+$C$23*IF(BP18="x",BP17,BP18))+$B$9)</f>
        <v>-9.4450019020800013</v>
      </c>
      <c r="BZ44" s="8" t="s">
        <v>11</v>
      </c>
      <c r="CA44" s="1">
        <f>IF(BW17="x","N/A",$B$8*($C$21*IF(BW16="x",BW17,BW16)+$C$22*IF(BV17="x",BW17,BV17)+$C$23*IF(BX17="x",BW17,BX17))+$B$9)</f>
        <v>-10.366970291200001</v>
      </c>
      <c r="CB44" s="1">
        <f>IF(BW17="x","N/A",$B$8*($C$21*IF(BX17="x",BW17,BX17)+$C$22*IF(BW16="x",BW17,BW16)+$C$23*IF(BW18="x",BW17,BW18))+$B$9)</f>
        <v>-10.469764293632002</v>
      </c>
      <c r="CC44" s="1">
        <f>IF(BW17="x","N/A",$B$8*($C$21*IF(BW18="x",BW17,BW18)+$C$22*IF(BV17="x",BW17,BV17)+$C$23*IF(BX17="x",BW17,BX17))+$B$9)</f>
        <v>-10.645069423616004</v>
      </c>
      <c r="CD44" s="1">
        <f>IF(BW17="x","N/A",$B$8*($C$21*IF(BV17="x",BW17,BV17)+$C$22*IF(BW16="x",BW17,BW16)+$C$23*IF(BW18="x",BW17,BW18))+$B$9)</f>
        <v>-9.9255114065920029</v>
      </c>
      <c r="CG44" s="8" t="s">
        <v>11</v>
      </c>
      <c r="CH44" s="1">
        <f>IF(CD17="x","N/A",$B$8*($C$21*IF(CD16="x",CD17,CD16)+$C$22*IF(CC17="x",CD17,CC17)+$C$23*IF(CE17="x",CD17,CE17))+$B$9)</f>
        <v>-10.824961416396803</v>
      </c>
      <c r="CI44" s="1">
        <f>IF(CD17="x","N/A",$B$8*($C$21*IF(CE17="x",CD17,CE17)+$C$22*IF(CD16="x",CD17,CD16)+$C$23*IF(CD18="x",CD17,CD18))+$B$9)</f>
        <v>-10.973412934451202</v>
      </c>
      <c r="CJ44" s="1">
        <f>IF(CD17="x","N/A",$B$8*($C$21*IF(CD18="x",CD17,CD18)+$C$22*IF(CC17="x",CD17,CC17)+$C$23*IF(CE17="x",CD17,CE17))+$B$9)</f>
        <v>-11.288173639270404</v>
      </c>
      <c r="CK44" s="1">
        <f>IF(CD17="x","N/A",$B$8*($C$21*IF(CC17="x",CD17,CC17)+$C$22*IF(CD16="x",CD17,CD16)+$C$23*IF(CD18="x",CD17,CD18))+$B$9)</f>
        <v>-10.249013012889602</v>
      </c>
      <c r="CN44" s="8" t="s">
        <v>11</v>
      </c>
      <c r="CO44" s="1">
        <f>IF(CK17="x","N/A",$B$8*($C$21*IF(CK16="x",CK17,CK16)+$C$22*IF(CJ17="x",CK17,CJ17)+$C$23*IF(CL17="x",CK17,CL17))+$B$9)</f>
        <v>-11.131351604551682</v>
      </c>
      <c r="CP44" s="1">
        <f>IF(CK17="x","N/A",$B$8*($C$21*IF(CL17="x",CK17,CL17)+$C$22*IF(CK16="x",CK17,CK16)+$C$23*IF(CK18="x",CK17,CK18))+$B$9)</f>
        <v>-11.317243157831683</v>
      </c>
      <c r="CQ44" s="1">
        <f>IF(CK17="x","N/A",$B$8*($C$21*IF(CK18="x",CK17,CK18)+$C$22*IF(CJ17="x",CK17,CJ17)+$C$23*IF(CL17="x",CK17,CL17))+$B$9)</f>
        <v>-11.757192764088323</v>
      </c>
      <c r="CR44" s="1">
        <f>IF(CK17="x","N/A",$B$8*($C$21*IF(CJ17="x",CK17,CJ17)+$C$22*IF(CK16="x",CK17,CK16)+$C$23*IF(CK18="x",CK17,CK18))+$B$9)</f>
        <v>-10.455951891128326</v>
      </c>
      <c r="CU44" s="8" t="s">
        <v>11</v>
      </c>
      <c r="CV44" s="1">
        <f>IF(CR17="x","N/A",$B$8*($C$21*IF(CR16="x",CR17,CR16)+$C$22*IF(CQ17="x",CR17,CQ17)+$C$23*IF(CS17="x",CR17,CS17))+$B$9)</f>
        <v>-11.326343846707205</v>
      </c>
      <c r="CW44" s="1">
        <f>IF(CR17="x","N/A",$B$8*($C$21*IF(CS17="x",CR17,CS17)+$C$22*IF(CR16="x",CR17,CR16)+$C$23*IF(CR18="x",CR17,CR18))+$B$9)</f>
        <v>-11.539904032292869</v>
      </c>
      <c r="CX44" s="1">
        <f>IF(CR17="x","N/A",$B$8*($C$21*IF(CR18="x",CR17,CR18)+$C$22*IF(CQ17="x",CR17,CQ17)+$C$23*IF(CS17="x",CR17,CS17))+$B$9)</f>
        <v>-12.077960976023556</v>
      </c>
      <c r="CY44" s="1">
        <f>IF(CR17="x","N/A",$B$8*($C$21*IF(CQ17="x",CR17,CQ17)+$C$22*IF(CR16="x",CR17,CR16)+$C$23*IF(CR18="x",CR17,CR18))+$B$9)</f>
        <v>-10.583039676923908</v>
      </c>
      <c r="DB44" s="8" t="s">
        <v>11</v>
      </c>
      <c r="DC44" s="1">
        <f>IF(CY17="x","N/A",$B$8*($C$21*IF(CY16="x",CY17,CY16)+$C$22*IF(CX17="x",CY17,CX17)+$C$23*IF(CZ17="x",CY17,CZ17))+$B$9)</f>
        <v>-11.445591506925982</v>
      </c>
      <c r="DD44" s="1">
        <f>IF(CY17="x","N/A",$B$8*($C$21*IF(CZ17="x",CY17,CZ17)+$C$22*IF(CY16="x",CY17,CY16)+$C$23*IF(CY18="x",CY17,CY18))+$B$9)</f>
        <v>-11.67812132657726</v>
      </c>
      <c r="DE44" s="1">
        <f>IF(CY17="x","N/A",$B$8*($C$21*IF(CY18="x",CY17,CY18)+$C$22*IF(CX17="x",CY17,CX17)+$C$23*IF(CZ17="x",CY17,CZ17))+$B$9)</f>
        <v>-12.286244704152788</v>
      </c>
      <c r="DF44" s="1">
        <f>IF(CY17="x","N/A",$B$8*($C$21*IF(CX17="x",CY17,CX17)+$C$22*IF(CY16="x",CY17,CY16)+$C$23*IF(CY18="x",CY17,CY18))+$B$9)</f>
        <v>-10.658535966593847</v>
      </c>
    </row>
    <row r="45" spans="8:110" x14ac:dyDescent="0.25">
      <c r="H45" s="8" t="s">
        <v>29</v>
      </c>
      <c r="I45" s="1">
        <f>IF(E18="x","N/A",$B$8*($C$21*IF(E17="x",E18,E17)+$C$22*IF(D18="x",E18,D18)+$C$23*IF(F18="x",E18,F18))+$B$9)</f>
        <v>-0.99</v>
      </c>
      <c r="J45" s="1">
        <f>IF(E18="x","N/A",$B$8*($C$21*IF(F18="x",E18,F18)+$C$22*IF(E17="x",E18,E17)+$C$23*IF(E19="x",E18,E19))+$B$9)</f>
        <v>-0.99</v>
      </c>
      <c r="K45" s="1">
        <f>IF(E18="x","N/A",$B$8*($C$21*IF(E19="x",E18,E19)+$C$22*IF(D18="x",E18,D18)+$C$23*IF(F18="x",E18,F18))+$B$9)</f>
        <v>-0.99</v>
      </c>
      <c r="L45" s="1">
        <f>IF(E18="x","N/A",$B$8*($C$21*IF(D18="x",E18,D18)+$C$22*IF(E17="x",E18,E17)+$C$23*IF(E19="x",E18,E19))+$B$9)</f>
        <v>-0.99</v>
      </c>
      <c r="O45" s="8" t="s">
        <v>29</v>
      </c>
      <c r="P45" s="1">
        <f>IF(L18="x","N/A",$B$8*($C$21*IF(L17="x",L18,L17)+$C$22*IF(K18="x",L18,K18)+$C$23*IF(M18="x",L18,M18))+$B$9)</f>
        <v>-1.98</v>
      </c>
      <c r="Q45" s="1">
        <f>IF(L18="x","N/A",$B$8*($C$21*IF(M18="x",L18,M18)+$C$22*IF(L17="x",L18,L17)+$C$23*IF(L19="x",L18,L19))+$B$9)</f>
        <v>-1.98</v>
      </c>
      <c r="R45" s="1">
        <f>IF(L18="x","N/A",$B$8*($C$21*IF(L19="x",L18,L19)+$C$22*IF(K18="x",L18,K18)+$C$23*IF(M18="x",L18,M18))+$B$9)</f>
        <v>-1.98</v>
      </c>
      <c r="S45" s="1">
        <f>IF(L18="x","N/A",$B$8*($C$21*IF(K18="x",L18,K18)+$C$22*IF(L17="x",L18,L17)+$C$23*IF(L19="x",L18,L19))+$B$9)</f>
        <v>-1.98</v>
      </c>
      <c r="V45" s="8" t="s">
        <v>29</v>
      </c>
      <c r="W45" s="1">
        <f>IF(S18="x","N/A",$B$8*($C$21*IF(S17="x",S18,S17)+$C$22*IF(R18="x",S18,R18)+$C$23*IF(T18="x",S18,T18))+$B$9)</f>
        <v>-2.9699999999999998</v>
      </c>
      <c r="X45" s="1">
        <f>IF(S18="x","N/A",$B$8*($C$21*IF(T18="x",S18,T18)+$C$22*IF(S17="x",S18,S17)+$C$23*IF(S19="x",S18,S19))+$B$9)</f>
        <v>-2.9699999999999998</v>
      </c>
      <c r="Y45" s="1">
        <f>IF(S18="x","N/A",$B$8*($C$21*IF(S19="x",S18,S19)+$C$22*IF(R18="x",S18,R18)+$C$23*IF(T18="x",S18,T18))+$B$9)</f>
        <v>-2.9699999999999998</v>
      </c>
      <c r="Z45" s="1">
        <f>IF(S18="x","N/A",$B$8*($C$21*IF(R18="x",S18,R18)+$C$22*IF(S17="x",S18,S17)+$C$23*IF(S19="x",S18,S19))+$B$9)</f>
        <v>-2.9699999999999998</v>
      </c>
      <c r="AC45" s="8" t="s">
        <v>29</v>
      </c>
      <c r="AD45" s="1">
        <f>IF(Z18="x","N/A",$B$8*($C$21*IF(Z17="x",Z18,Z17)+$C$22*IF(Y18="x",Z18,Y18)+$C$23*IF(AA18="x",Z18,AA18))+$B$9)</f>
        <v>-3.96</v>
      </c>
      <c r="AE45" s="1">
        <f>IF(Z18="x","N/A",$B$8*($C$21*IF(AA18="x",Z18,AA18)+$C$22*IF(Z17="x",Z18,Z17)+$C$23*IF(Z19="x",Z18,Z19))+$B$9)</f>
        <v>-3.96</v>
      </c>
      <c r="AF45" s="1">
        <f>IF(Z18="x","N/A",$B$8*($C$21*IF(Z19="x",Z18,Z19)+$C$22*IF(Y18="x",Z18,Y18)+$C$23*IF(AA18="x",Z18,AA18))+$B$9)</f>
        <v>-3.96</v>
      </c>
      <c r="AG45" s="1">
        <f>IF(Z18="x","N/A",$B$8*($C$21*IF(Y18="x",Z18,Y18)+$C$22*IF(Z17="x",Z18,Z17)+$C$23*IF(Z19="x",Z18,Z19))+$B$9)</f>
        <v>-3.96</v>
      </c>
      <c r="AJ45" s="8" t="s">
        <v>29</v>
      </c>
      <c r="AK45" s="1">
        <f>IF(AG18="x","N/A",$B$8*($C$21*IF(AG17="x",AG18,AG17)+$C$22*IF(AF18="x",AG18,AF18)+$C$23*IF(AH18="x",AG18,AH18))+$B$9)</f>
        <v>-4.95</v>
      </c>
      <c r="AL45" s="1">
        <f>IF(AG18="x","N/A",$B$8*($C$21*IF(AH18="x",AG18,AH18)+$C$22*IF(AG17="x",AG18,AG17)+$C$23*IF(AG19="x",AG18,AG19))+$B$9)</f>
        <v>-4.95</v>
      </c>
      <c r="AM45" s="1">
        <f>IF(AG18="x","N/A",$B$8*($C$21*IF(AG19="x",AG18,AG19)+$C$22*IF(AF18="x",AG18,AF18)+$C$23*IF(AH18="x",AG18,AH18))+$B$9)</f>
        <v>-4.95</v>
      </c>
      <c r="AN45" s="1">
        <f>IF(AG18="x","N/A",$B$8*($C$21*IF(AF18="x",AG18,AF18)+$C$22*IF(AG17="x",AG18,AG17)+$C$23*IF(AG19="x",AG18,AG19))+$B$9)</f>
        <v>-4.95</v>
      </c>
      <c r="AQ45" s="8" t="s">
        <v>29</v>
      </c>
      <c r="AR45" s="1">
        <f>IF(AN18="x","N/A",$B$8*($C$21*IF(AN17="x",AN18,AN17)+$C$22*IF(AM18="x",AN18,AM18)+$C$23*IF(AO18="x",AN18,AO18))+$B$9)</f>
        <v>-5.94</v>
      </c>
      <c r="AS45" s="1">
        <f>IF(AN18="x","N/A",$B$8*($C$21*IF(AO18="x",AN18,AO18)+$C$22*IF(AN17="x",AN18,AN17)+$C$23*IF(AN19="x",AN18,AN19))+$B$9)</f>
        <v>-5.94</v>
      </c>
      <c r="AT45" s="1">
        <f>IF(AN18="x","N/A",$B$8*($C$21*IF(AN19="x",AN18,AN19)+$C$22*IF(AM18="x",AN18,AM18)+$C$23*IF(AO18="x",AN18,AO18))+$B$9)</f>
        <v>-5.94</v>
      </c>
      <c r="AU45" s="1">
        <f>IF(AN18="x","N/A",$B$8*($C$21*IF(AM18="x",AN18,AM18)+$C$22*IF(AN17="x",AN18,AN17)+$C$23*IF(AN19="x",AN18,AN19))+$B$9)</f>
        <v>-5.94</v>
      </c>
      <c r="AX45" s="8" t="s">
        <v>29</v>
      </c>
      <c r="AY45" s="1">
        <f>IF(AU18="x","N/A",$B$8*($C$21*IF(AU17="x",AU18,AU17)+$C$22*IF(AT18="x",AU18,AT18)+$C$23*IF(AV18="x",AU18,AV18))+$B$9)</f>
        <v>-6.9300000000000015</v>
      </c>
      <c r="AZ45" s="1">
        <f>IF(AU18="x","N/A",$B$8*($C$21*IF(AV18="x",AU18,AV18)+$C$22*IF(AU17="x",AU18,AU17)+$C$23*IF(AU19="x",AU18,AU19))+$B$9)</f>
        <v>-6.9300000000000015</v>
      </c>
      <c r="BA45" s="1">
        <f>IF(AU18="x","N/A",$B$8*($C$21*IF(AU19="x",AU18,AU19)+$C$22*IF(AT18="x",AU18,AT18)+$C$23*IF(AV18="x",AU18,AV18))+$B$9)</f>
        <v>-6.9300000000000015</v>
      </c>
      <c r="BB45" s="1">
        <f>IF(AU18="x","N/A",$B$8*($C$21*IF(AT18="x",AU18,AT18)+$C$22*IF(AU17="x",AU18,AU17)+$C$23*IF(AU19="x",AU18,AU19))+$B$9)</f>
        <v>-6.9300000000000015</v>
      </c>
      <c r="BE45" s="8" t="s">
        <v>29</v>
      </c>
      <c r="BF45" s="1">
        <f>IF(BB18="x","N/A",$B$8*($C$21*IF(BB17="x",BB18,BB17)+$C$22*IF(BA18="x",BB18,BA18)+$C$23*IF(BC18="x",BB18,BC18))+$B$9)</f>
        <v>-7.9200000000000026</v>
      </c>
      <c r="BG45" s="1">
        <f>IF(BB18="x","N/A",$B$8*($C$21*IF(BC18="x",BB18,BC18)+$C$22*IF(BB17="x",BB18,BB17)+$C$23*IF(BB19="x",BB18,BB19))+$B$9)</f>
        <v>-7.9200000000000026</v>
      </c>
      <c r="BH45" s="1">
        <f>IF(BB18="x","N/A",$B$8*($C$21*IF(BB19="x",BB18,BB19)+$C$22*IF(BA18="x",BB18,BA18)+$C$23*IF(BC18="x",BB18,BC18))+$B$9)</f>
        <v>-7.9200000000000026</v>
      </c>
      <c r="BI45" s="1">
        <f>IF(BB18="x","N/A",$B$8*($C$21*IF(BA18="x",BB18,BA18)+$C$22*IF(BB17="x",BB18,BB17)+$C$23*IF(BB19="x",BB18,BB19))+$B$9)</f>
        <v>-7.9200000000000026</v>
      </c>
      <c r="BL45" s="8" t="s">
        <v>29</v>
      </c>
      <c r="BM45" s="1">
        <f>IF(BI18="x","N/A",$B$8*($C$21*IF(BI17="x",BI18,BI17)+$C$22*IF(BH18="x",BI18,BH18)+$C$23*IF(BJ18="x",BI18,BJ18))+$B$9)</f>
        <v>-8.9100000000000019</v>
      </c>
      <c r="BN45" s="1">
        <f>IF(BI18="x","N/A",$B$8*($C$21*IF(BJ18="x",BI18,BJ18)+$C$22*IF(BI17="x",BI18,BI17)+$C$23*IF(BI19="x",BI18,BI19))+$B$9)</f>
        <v>-8.9100000000000019</v>
      </c>
      <c r="BO45" s="1">
        <f>IF(BI18="x","N/A",$B$8*($C$21*IF(BI19="x",BI18,BI19)+$C$22*IF(BH18="x",BI18,BH18)+$C$23*IF(BJ18="x",BI18,BJ18))+$B$9)</f>
        <v>-8.9100000000000019</v>
      </c>
      <c r="BP45" s="1">
        <f>IF(BI18="x","N/A",$B$8*($C$21*IF(BH18="x",BI18,BH18)+$C$22*IF(BI17="x",BI18,BI17)+$C$23*IF(BI19="x",BI18,BI19))+$B$9)</f>
        <v>-8.9100000000000019</v>
      </c>
      <c r="BS45" s="8" t="s">
        <v>29</v>
      </c>
      <c r="BT45" s="1">
        <f>IF(BP18="x","N/A",$B$8*($C$21*IF(BP17="x",BP18,BP17)+$C$22*IF(BO18="x",BP18,BO18)+$C$23*IF(BQ18="x",BP18,BQ18))+$B$9)</f>
        <v>-9.7926258176000029</v>
      </c>
      <c r="BU45" s="1">
        <f>IF(BP18="x","N/A",$B$8*($C$21*IF(BQ18="x",BP18,BQ18)+$C$22*IF(BP17="x",BP18,BP17)+$C$23*IF(BP19="x",BP18,BP19))+$B$9)</f>
        <v>-9.8865782272000029</v>
      </c>
      <c r="BV45" s="1">
        <f>IF(BP18="x","N/A",$B$8*($C$21*IF(BP19="x",BP18,BP19)+$C$22*IF(BO18="x",BP18,BO18)+$C$23*IF(BQ18="x",BP18,BQ18))+$B$9)</f>
        <v>-9.9000000000000021</v>
      </c>
      <c r="BW45" s="1">
        <f>IF(BP18="x","N/A",$B$8*($C$21*IF(BO18="x",BP18,BO18)+$C$22*IF(BP17="x",BP18,BP17)+$C$23*IF(BP19="x",BP18,BP19))+$B$9)</f>
        <v>-9.8865782272000029</v>
      </c>
      <c r="BZ45" s="8" t="s">
        <v>29</v>
      </c>
      <c r="CA45" s="1">
        <f>IF(BW18="x","N/A",$B$8*($C$21*IF(BW17="x",BW18,BW17)+$C$22*IF(BV18="x",BW18,BV18)+$C$23*IF(BX18="x",BW18,BX18))+$B$9)</f>
        <v>-10.504526685184002</v>
      </c>
      <c r="CB45" s="1">
        <f>IF(BW18="x","N/A",$B$8*($C$21*IF(BX18="x",BW18,BX18)+$C$22*IF(BW17="x",BW18,BW17)+$C$23*IF(BW19="x",BW18,BW19))+$B$9)</f>
        <v>-10.758600844288004</v>
      </c>
      <c r="CC45" s="1">
        <f>IF(BW18="x","N/A",$B$8*($C$21*IF(BW19="x",BW18,BW19)+$C$22*IF(BV18="x",BW18,BV18)+$C$23*IF(BX18="x",BW18,BX18))+$B$9)</f>
        <v>-10.868525163520003</v>
      </c>
      <c r="CD45" s="1">
        <f>IF(BW18="x","N/A",$B$8*($C$21*IF(BV18="x",BW18,BV18)+$C$22*IF(BW17="x",BW18,BW17)+$C$23*IF(BW19="x",BW18,BW19))+$B$9)</f>
        <v>-10.758600844288004</v>
      </c>
      <c r="CG45" s="8" t="s">
        <v>29</v>
      </c>
      <c r="CH45" s="1">
        <f>IF(CD18="x","N/A",$B$8*($C$21*IF(CD17="x",CD18,CD17)+$C$22*IF(CC18="x",CD18,CC18)+$C$23*IF(CE18="x",CD18,CE18))+$B$9)</f>
        <v>-11.031314462310403</v>
      </c>
      <c r="CI45" s="1">
        <f>IF(CD18="x","N/A",$B$8*($C$21*IF(CE18="x",CD18,CE18)+$C$22*IF(CD17="x",CD18,CD17)+$C$23*IF(CD19="x",CD18,CD19))+$B$9)</f>
        <v>-11.466582554214403</v>
      </c>
      <c r="CJ45" s="1">
        <f>IF(CD18="x","N/A",$B$8*($C$21*IF(CD19="x",CD18,CD19)+$C$22*IF(CC18="x",CD18,CC18)+$C$23*IF(CE18="x",CD18,CE18))+$B$9)</f>
        <v>-11.734185860300801</v>
      </c>
      <c r="CK45" s="1">
        <f>IF(CD18="x","N/A",$B$8*($C$21*IF(CC18="x",CD18,CC18)+$C$22*IF(CD17="x",CD18,CD17)+$C$23*IF(CD19="x",CD18,CD19))+$B$9)</f>
        <v>-11.466582554214403</v>
      </c>
      <c r="CN45" s="8" t="s">
        <v>29</v>
      </c>
      <c r="CO45" s="1">
        <f>IF(CK18="x","N/A",$B$8*($C$21*IF(CK17="x",CK18,CK17)+$C$22*IF(CJ18="x",CK18,CJ18)+$C$23*IF(CL18="x",CK18,CL18))+$B$9)</f>
        <v>-11.395473302773764</v>
      </c>
      <c r="CP45" s="1">
        <f>IF(CK18="x","N/A",$B$8*($C$21*IF(CL18="x",CK18,CL18)+$C$22*IF(CK17="x",CK18,CK17)+$C$23*IF(CK19="x",CK18,CK19))+$B$9)</f>
        <v>-11.996256012492804</v>
      </c>
      <c r="CQ45" s="1">
        <f>IF(CK18="x","N/A",$B$8*($C$21*IF(CK19="x",CK18,CK19)+$C$22*IF(CJ18="x",CK18,CJ18)+$C$23*IF(CL18="x",CK18,CL18))+$B$9)</f>
        <v>-12.446688023306244</v>
      </c>
      <c r="CR45" s="1">
        <f>IF(CK18="x","N/A",$B$8*($C$21*IF(CJ18="x",CK18,CJ18)+$C$22*IF(CK17="x",CK18,CK17)+$C$23*IF(CK19="x",CK18,CK19))+$B$9)</f>
        <v>-11.996256012492804</v>
      </c>
      <c r="CU45" s="8" t="s">
        <v>29</v>
      </c>
      <c r="CV45" s="1">
        <f>IF(CR18="x","N/A",$B$8*($C$21*IF(CR17="x",CR18,CR17)+$C$22*IF(CQ18="x",CR18,CQ18)+$C$23*IF(CS18="x",CR18,CS18))+$B$9)</f>
        <v>-11.633856173457415</v>
      </c>
      <c r="CW45" s="1">
        <f>IF(CR18="x","N/A",$B$8*($C$21*IF(CS18="x",CR18,CS18)+$C$22*IF(CR17="x",CR18,CR17)+$C$23*IF(CR19="x",CR18,CR19))+$B$9)</f>
        <v>-12.367222107684869</v>
      </c>
      <c r="CX45" s="1">
        <f>IF(CR18="x","N/A",$B$8*($C$21*IF(CR19="x",CR18,CR19)+$C$22*IF(CQ18="x",CR18,CQ18)+$C$23*IF(CS18="x",CR18,CS18))+$B$9)</f>
        <v>-12.99108087137895</v>
      </c>
      <c r="CY45" s="1">
        <f>IF(CR18="x","N/A",$B$8*($C$21*IF(CQ18="x",CR18,CQ18)+$C$22*IF(CR17="x",CR18,CR17)+$C$23*IF(CR19="x",CR18,CR19))+$B$9)</f>
        <v>-12.367222107684869</v>
      </c>
      <c r="DB45" s="8" t="s">
        <v>29</v>
      </c>
      <c r="DC45" s="1">
        <f>IF(CY18="x","N/A",$B$8*($C$21*IF(CY17="x",CY18,CY17)+$C$22*IF(CX18="x",CY18,CX18)+$C$23*IF(CZ18="x",CY18,CZ18))+$B$9)</f>
        <v>-11.78320297623061</v>
      </c>
      <c r="DD45" s="1">
        <f>IF(CY18="x","N/A",$B$8*($C$21*IF(CZ18="x",CY18,CZ18)+$C$22*IF(CY17="x",CY18,CY17)+$C$23*IF(CY19="x",CY18,CY19))+$B$9)</f>
        <v>-12.613578410670497</v>
      </c>
      <c r="DE45" s="1">
        <f>IF(CY18="x","N/A",$B$8*($C$21*IF(CY19="x",CY18,CY19)+$C$22*IF(CX18="x",CY18,CX18)+$C$23*IF(CZ18="x",CY18,CZ18))+$B$9)</f>
        <v>-13.38228726838887</v>
      </c>
      <c r="DF45" s="1">
        <f>IF(CY18="x","N/A",$B$8*($C$21*IF(CX18="x",CY18,CX18)+$C$22*IF(CY17="x",CY18,CY17)+$C$23*IF(CY19="x",CY18,CY19))+$B$9)</f>
        <v>-12.613578410670497</v>
      </c>
    </row>
    <row r="46" spans="8:110" x14ac:dyDescent="0.25">
      <c r="H46" s="8" t="s">
        <v>30</v>
      </c>
      <c r="I46" s="1">
        <f>IF(E19="x","N/A",$B$8*($C$21*IF(E18="x",E19,E18)+$C$22*IF(D19="x",E19,D19)+$C$23*IF(F19="x",E19,F19))+$B$9)</f>
        <v>-0.99</v>
      </c>
      <c r="J46" s="1">
        <f>IF(E19="x","N/A",$B$8*($C$21*IF(F19="x",E19,F19)+$C$22*IF(E18="x",E19,E18)+$C$23*IF(E20="x",E19,E20))+$B$9)</f>
        <v>-0.99</v>
      </c>
      <c r="K46" s="1">
        <f>IF(E19="x","N/A",$B$8*($C$21*IF(E20="x",E19,E20)+$C$22*IF(D19="x",E19,D19)+$C$23*IF(F19="x",E19,F19))+$B$9)</f>
        <v>-0.99</v>
      </c>
      <c r="L46" s="1">
        <f>IF(E19="x","N/A",$B$8*($C$21*IF(D19="x",E19,D19)+$C$22*IF(E18="x",E19,E18)+$C$23*IF(E20="x",E19,E20))+$B$9)</f>
        <v>-0.99</v>
      </c>
      <c r="O46" s="8" t="s">
        <v>30</v>
      </c>
      <c r="P46" s="1">
        <f>IF(L19="x","N/A",$B$8*($C$21*IF(L18="x",L19,L18)+$C$22*IF(K19="x",L19,K19)+$C$23*IF(M19="x",L19,M19))+$B$9)</f>
        <v>-1.98</v>
      </c>
      <c r="Q46" s="1">
        <f>IF(L19="x","N/A",$B$8*($C$21*IF(M19="x",L19,M19)+$C$22*IF(L18="x",L19,L18)+$C$23*IF(L20="x",L19,L20))+$B$9)</f>
        <v>-1.98</v>
      </c>
      <c r="R46" s="1">
        <f>IF(L19="x","N/A",$B$8*($C$21*IF(L20="x",L19,L20)+$C$22*IF(K19="x",L19,K19)+$C$23*IF(M19="x",L19,M19))+$B$9)</f>
        <v>-1.98</v>
      </c>
      <c r="S46" s="1">
        <f>IF(L19="x","N/A",$B$8*($C$21*IF(K19="x",L19,K19)+$C$22*IF(L18="x",L19,L18)+$C$23*IF(L20="x",L19,L20))+$B$9)</f>
        <v>-1.98</v>
      </c>
      <c r="V46" s="8" t="s">
        <v>30</v>
      </c>
      <c r="W46" s="1">
        <f>IF(S19="x","N/A",$B$8*($C$21*IF(S18="x",S19,S18)+$C$22*IF(R19="x",S19,R19)+$C$23*IF(T19="x",S19,T19))+$B$9)</f>
        <v>-2.9699999999999998</v>
      </c>
      <c r="X46" s="1">
        <f>IF(S19="x","N/A",$B$8*($C$21*IF(T19="x",S19,T19)+$C$22*IF(S18="x",S19,S18)+$C$23*IF(S20="x",S19,S20))+$B$9)</f>
        <v>-2.9699999999999998</v>
      </c>
      <c r="Y46" s="1">
        <f>IF(S19="x","N/A",$B$8*($C$21*IF(S20="x",S19,S20)+$C$22*IF(R19="x",S19,R19)+$C$23*IF(T19="x",S19,T19))+$B$9)</f>
        <v>-2.9699999999999998</v>
      </c>
      <c r="Z46" s="1">
        <f>IF(S19="x","N/A",$B$8*($C$21*IF(R19="x",S19,R19)+$C$22*IF(S18="x",S19,S18)+$C$23*IF(S20="x",S19,S20))+$B$9)</f>
        <v>-2.9699999999999998</v>
      </c>
      <c r="AC46" s="8" t="s">
        <v>30</v>
      </c>
      <c r="AD46" s="1">
        <f>IF(Z19="x","N/A",$B$8*($C$21*IF(Z18="x",Z19,Z18)+$C$22*IF(Y19="x",Z19,Y19)+$C$23*IF(AA19="x",Z19,AA19))+$B$9)</f>
        <v>-3.96</v>
      </c>
      <c r="AE46" s="1">
        <f>IF(Z19="x","N/A",$B$8*($C$21*IF(AA19="x",Z19,AA19)+$C$22*IF(Z18="x",Z19,Z18)+$C$23*IF(Z20="x",Z19,Z20))+$B$9)</f>
        <v>-3.96</v>
      </c>
      <c r="AF46" s="1">
        <f>IF(Z19="x","N/A",$B$8*($C$21*IF(Z20="x",Z19,Z20)+$C$22*IF(Y19="x",Z19,Y19)+$C$23*IF(AA19="x",Z19,AA19))+$B$9)</f>
        <v>-3.96</v>
      </c>
      <c r="AG46" s="1">
        <f>IF(Z19="x","N/A",$B$8*($C$21*IF(Y19="x",Z19,Y19)+$C$22*IF(Z18="x",Z19,Z18)+$C$23*IF(Z20="x",Z19,Z20))+$B$9)</f>
        <v>-3.96</v>
      </c>
      <c r="AJ46" s="8" t="s">
        <v>30</v>
      </c>
      <c r="AK46" s="1">
        <f>IF(AG19="x","N/A",$B$8*($C$21*IF(AG18="x",AG19,AG18)+$C$22*IF(AF19="x",AG19,AF19)+$C$23*IF(AH19="x",AG19,AH19))+$B$9)</f>
        <v>-4.95</v>
      </c>
      <c r="AL46" s="1">
        <f>IF(AG19="x","N/A",$B$8*($C$21*IF(AH19="x",AG19,AH19)+$C$22*IF(AG18="x",AG19,AG18)+$C$23*IF(AG20="x",AG19,AG20))+$B$9)</f>
        <v>-4.95</v>
      </c>
      <c r="AM46" s="1">
        <f>IF(AG19="x","N/A",$B$8*($C$21*IF(AG20="x",AG19,AG20)+$C$22*IF(AF19="x",AG19,AF19)+$C$23*IF(AH19="x",AG19,AH19))+$B$9)</f>
        <v>-4.95</v>
      </c>
      <c r="AN46" s="1">
        <f>IF(AG19="x","N/A",$B$8*($C$21*IF(AF19="x",AG19,AF19)+$C$22*IF(AG18="x",AG19,AG18)+$C$23*IF(AG20="x",AG19,AG20))+$B$9)</f>
        <v>-4.95</v>
      </c>
      <c r="AQ46" s="8" t="s">
        <v>30</v>
      </c>
      <c r="AR46" s="1">
        <f>IF(AN19="x","N/A",$B$8*($C$21*IF(AN18="x",AN19,AN18)+$C$22*IF(AM19="x",AN19,AM19)+$C$23*IF(AO19="x",AN19,AO19))+$B$9)</f>
        <v>-5.94</v>
      </c>
      <c r="AS46" s="1">
        <f>IF(AN19="x","N/A",$B$8*($C$21*IF(AO19="x",AN19,AO19)+$C$22*IF(AN18="x",AN19,AN18)+$C$23*IF(AN20="x",AN19,AN20))+$B$9)</f>
        <v>-5.94</v>
      </c>
      <c r="AT46" s="1">
        <f>IF(AN19="x","N/A",$B$8*($C$21*IF(AN20="x",AN19,AN20)+$C$22*IF(AM19="x",AN19,AM19)+$C$23*IF(AO19="x",AN19,AO19))+$B$9)</f>
        <v>-5.94</v>
      </c>
      <c r="AU46" s="1">
        <f>IF(AN19="x","N/A",$B$8*($C$21*IF(AM19="x",AN19,AM19)+$C$22*IF(AN18="x",AN19,AN18)+$C$23*IF(AN20="x",AN19,AN20))+$B$9)</f>
        <v>-5.94</v>
      </c>
      <c r="AX46" s="8" t="s">
        <v>30</v>
      </c>
      <c r="AY46" s="1">
        <f>IF(AU19="x","N/A",$B$8*($C$21*IF(AU18="x",AU19,AU18)+$C$22*IF(AT19="x",AU19,AT19)+$C$23*IF(AV19="x",AU19,AV19))+$B$9)</f>
        <v>-6.9300000000000015</v>
      </c>
      <c r="AZ46" s="1">
        <f>IF(AU19="x","N/A",$B$8*($C$21*IF(AV19="x",AU19,AV19)+$C$22*IF(AU18="x",AU19,AU18)+$C$23*IF(AU20="x",AU19,AU20))+$B$9)</f>
        <v>-6.9300000000000015</v>
      </c>
      <c r="BA46" s="1">
        <f>IF(AU19="x","N/A",$B$8*($C$21*IF(AU20="x",AU19,AU20)+$C$22*IF(AT19="x",AU19,AT19)+$C$23*IF(AV19="x",AU19,AV19))+$B$9)</f>
        <v>-6.9300000000000015</v>
      </c>
      <c r="BB46" s="1">
        <f>IF(AU19="x","N/A",$B$8*($C$21*IF(AT19="x",AU19,AT19)+$C$22*IF(AU18="x",AU19,AU18)+$C$23*IF(AU20="x",AU19,AU20))+$B$9)</f>
        <v>-6.9300000000000015</v>
      </c>
      <c r="BE46" s="8" t="s">
        <v>30</v>
      </c>
      <c r="BF46" s="1">
        <f>IF(BB19="x","N/A",$B$8*($C$21*IF(BB18="x",BB19,BB18)+$C$22*IF(BA19="x",BB19,BA19)+$C$23*IF(BC19="x",BB19,BC19))+$B$9)</f>
        <v>-7.9200000000000026</v>
      </c>
      <c r="BG46" s="1">
        <f>IF(BB19="x","N/A",$B$8*($C$21*IF(BC19="x",BB19,BC19)+$C$22*IF(BB18="x",BB19,BB18)+$C$23*IF(BB20="x",BB19,BB20))+$B$9)</f>
        <v>-7.9200000000000026</v>
      </c>
      <c r="BH46" s="1">
        <f>IF(BB19="x","N/A",$B$8*($C$21*IF(BB20="x",BB19,BB20)+$C$22*IF(BA19="x",BB19,BA19)+$C$23*IF(BC19="x",BB19,BC19))+$B$9)</f>
        <v>-7.9200000000000026</v>
      </c>
      <c r="BI46" s="1">
        <f>IF(BB19="x","N/A",$B$8*($C$21*IF(BA19="x",BB19,BA19)+$C$22*IF(BB18="x",BB19,BB18)+$C$23*IF(BB20="x",BB19,BB20))+$B$9)</f>
        <v>-7.9200000000000026</v>
      </c>
      <c r="BL46" s="8" t="s">
        <v>30</v>
      </c>
      <c r="BM46" s="1">
        <f>IF(BI19="x","N/A",$B$8*($C$21*IF(BI18="x",BI19,BI18)+$C$22*IF(BH19="x",BI19,BH19)+$C$23*IF(BJ19="x",BI19,BJ19))+$B$9)</f>
        <v>-8.9100000000000019</v>
      </c>
      <c r="BN46" s="1">
        <f>IF(BI19="x","N/A",$B$8*($C$21*IF(BJ19="x",BI19,BJ19)+$C$22*IF(BI18="x",BI19,BI18)+$C$23*IF(BI20="x",BI19,BI20))+$B$9)</f>
        <v>-8.9100000000000019</v>
      </c>
      <c r="BO46" s="1">
        <f>IF(BI19="x","N/A",$B$8*($C$21*IF(BI20="x",BI19,BI20)+$C$22*IF(BH19="x",BI19,BH19)+$C$23*IF(BJ19="x",BI19,BJ19))+$B$9)</f>
        <v>-8.9100000000000019</v>
      </c>
      <c r="BP46" s="1">
        <f>IF(BI19="x","N/A",$B$8*($C$21*IF(BH19="x",BI19,BH19)+$C$22*IF(BI18="x",BI19,BI18)+$C$23*IF(BI20="x",BI19,BI20))+$B$9)</f>
        <v>-8.9100000000000019</v>
      </c>
      <c r="BS46" s="8" t="s">
        <v>30</v>
      </c>
      <c r="BT46" s="1">
        <f>IF(BP19="x","N/A",$B$8*($C$21*IF(BP18="x",BP19,BP18)+$C$22*IF(BO19="x",BP19,BO19)+$C$23*IF(BQ19="x",BP19,BQ19))+$B$9)</f>
        <v>-9.9000000000000021</v>
      </c>
      <c r="BU46" s="1">
        <f>IF(BP19="x","N/A",$B$8*($C$21*IF(BQ19="x",BP19,BQ19)+$C$22*IF(BP18="x",BP19,BP18)+$C$23*IF(BP20="x",BP19,BP20))+$B$9)</f>
        <v>-9.9000000000000021</v>
      </c>
      <c r="BV46" s="1">
        <f>IF(BP19="x","N/A",$B$8*($C$21*IF(BP20="x",BP19,BP20)+$C$22*IF(BO19="x",BP19,BO19)+$C$23*IF(BQ19="x",BP19,BQ19))+$B$9)</f>
        <v>-9.9000000000000021</v>
      </c>
      <c r="BW46" s="1">
        <f>IF(BP19="x","N/A",$B$8*($C$21*IF(BO19="x",BP19,BO19)+$C$22*IF(BP18="x",BP19,BP18)+$C$23*IF(BP20="x",BP19,BP20))+$B$9)</f>
        <v>-9.9000000000000021</v>
      </c>
      <c r="BZ46" s="8" t="s">
        <v>30</v>
      </c>
      <c r="CA46" s="1">
        <f>IF(BW19="x","N/A",$B$8*($C$21*IF(BW18="x",BW19,BW18)+$C$22*IF(BV19="x",BW19,BV19)+$C$23*IF(BX19="x",BW19,BX19))+$B$9)</f>
        <v>-10.804100654080003</v>
      </c>
      <c r="CB46" s="1">
        <f>IF(BW19="x","N/A",$B$8*($C$21*IF(BX19="x",BW19,BX19)+$C$22*IF(BW18="x",BW19,BW18)+$C$23*IF(BW20="x",BW19,BW20))+$B$9)</f>
        <v>-10.879262581760003</v>
      </c>
      <c r="CC46" s="1">
        <f>IF(BW19="x","N/A",$B$8*($C$21*IF(BW20="x",BW19,BW20)+$C$22*IF(BV19="x",BW19,BV19)+$C$23*IF(BX19="x",BW19,BX19))+$B$9)</f>
        <v>-10.890000000000002</v>
      </c>
      <c r="CD46" s="1">
        <f>IF(BW19="x","N/A",$B$8*($C$21*IF(BV19="x",BW19,BV19)+$C$22*IF(BW18="x",BW19,BW18)+$C$23*IF(BW20="x",BW19,BW20))+$B$9)</f>
        <v>-10.879262581760003</v>
      </c>
      <c r="CG46" s="8" t="s">
        <v>30</v>
      </c>
      <c r="CH46" s="1">
        <f>IF(CD19="x","N/A",$B$8*($C$21*IF(CD18="x",CD19,CD18)+$C$22*IF(CC19="x",CD19,CC19)+$C$23*IF(CE19="x",CD19,CE19))+$B$9)</f>
        <v>-11.563031413555203</v>
      </c>
      <c r="CI46" s="1">
        <f>IF(CD19="x","N/A",$B$8*($C$21*IF(CE19="x",CD19,CE19)+$C$22*IF(CD18="x",CD19,CD18)+$C$23*IF(CD20="x",CD19,CD20))+$B$9)</f>
        <v>-11.764143257190401</v>
      </c>
      <c r="CJ46" s="1">
        <f>IF(CD19="x","N/A",$B$8*($C$21*IF(CD20="x",CD19,CD20)+$C$22*IF(CC19="x",CD19,CC19)+$C$23*IF(CE19="x",CD19,CE19))+$B$9)</f>
        <v>-11.802690588672002</v>
      </c>
      <c r="CK46" s="1">
        <f>IF(CD19="x","N/A",$B$8*($C$21*IF(CC19="x",CD19,CC19)+$C$22*IF(CD18="x",CD19,CD18)+$C$23*IF(CD20="x",CD19,CD20))+$B$9)</f>
        <v>-11.832862733926401</v>
      </c>
      <c r="CN46" s="8" t="s">
        <v>30</v>
      </c>
      <c r="CO46" s="1">
        <f>IF(CK19="x","N/A",$B$8*($C$21*IF(CK18="x",CK19,CK18)+$C$22*IF(CJ19="x",CK19,CJ19)+$C$23*IF(CL19="x",CK19,CL19))+$B$9)</f>
        <v>-12.152482763530244</v>
      </c>
      <c r="CP46" s="1">
        <f>IF(CK19="x","N/A",$B$8*($C$21*IF(CL19="x",CK19,CL19)+$C$22*IF(CK18="x",CK19,CK18)+$C$23*IF(CK20="x",CK19,CK20))+$B$9)</f>
        <v>-12.499859718430724</v>
      </c>
      <c r="CQ46" s="1">
        <f>IF(CK19="x","N/A",$B$8*($C$21*IF(CK20="x",CK19,CK20)+$C$22*IF(CJ19="x",CK19,CJ19)+$C$23*IF(CL19="x",CK19,CL19))+$B$9)</f>
        <v>-12.577856324526083</v>
      </c>
      <c r="CR46" s="1">
        <f>IF(CK19="x","N/A",$B$8*($C$21*IF(CJ19="x",CK19,CJ19)+$C$22*IF(CK18="x",CK19,CK18)+$C$23*IF(CK20="x",CK19,CK20))+$B$9)</f>
        <v>-12.698459006197764</v>
      </c>
      <c r="CU46" s="8" t="s">
        <v>30</v>
      </c>
      <c r="CV46" s="1">
        <f>IF(CR19="x","N/A",$B$8*($C$21*IF(CR18="x",CR19,CR18)+$C$22*IF(CQ19="x",CR19,CQ19)+$C$23*IF(CS19="x",CR19,CS19))+$B$9)</f>
        <v>-12.581895042121733</v>
      </c>
      <c r="CW46" s="1">
        <f>IF(CR19="x","N/A",$B$8*($C$21*IF(CS19="x",CR19,CS19)+$C$22*IF(CR18="x",CR19,CR18)+$C$23*IF(CR20="x",CR19,CR20))+$B$9)</f>
        <v>-13.066781817454597</v>
      </c>
      <c r="CX46" s="1">
        <f>IF(CR19="x","N/A",$B$8*($C$21*IF(CR20="x",CR19,CR20)+$C$22*IF(CQ19="x",CR19,CQ19)+$C$23*IF(CS19="x",CR19,CS19))+$B$9)</f>
        <v>-13.187502610726918</v>
      </c>
      <c r="CY46" s="1">
        <f>IF(CR19="x","N/A",$B$8*($C$21*IF(CQ19="x",CR19,CQ19)+$C$22*IF(CR18="x",CR19,CR18)+$C$23*IF(CR20="x",CR19,CR20))+$B$9)</f>
        <v>-13.426940595027972</v>
      </c>
      <c r="DB46" s="8" t="s">
        <v>30</v>
      </c>
      <c r="DC46" s="1">
        <f>IF(CY19="x","N/A",$B$8*($C$21*IF(CY18="x",CY19,CY18)+$C$22*IF(CX19="x",CY19,CX19)+$C$23*IF(CZ19="x",CY19,CZ19))+$B$9)</f>
        <v>-12.878526688770465</v>
      </c>
      <c r="DD46" s="1">
        <f>IF(CY19="x","N/A",$B$8*($C$21*IF(CZ19="x",CY19,CZ19)+$C$22*IF(CY18="x",CY19,CY18)+$C$23*IF(CY20="x",CY19,CY20))+$B$9)</f>
        <v>-13.477091155255302</v>
      </c>
      <c r="DE46" s="1">
        <f>IF(CY19="x","N/A",$B$8*($C$21*IF(CY20="x",CY19,CY20)+$C$22*IF(CX19="x",CY19,CX19)+$C$23*IF(CZ19="x",CY19,CZ19))+$B$9)</f>
        <v>-13.63695778370192</v>
      </c>
      <c r="DF46" s="1">
        <f>IF(CY19="x","N/A",$B$8*($C$21*IF(CX19="x",CY19,CX19)+$C$22*IF(CY18="x",CY19,CY18)+$C$23*IF(CY20="x",CY19,CY20))+$B$9)</f>
        <v>-13.997593087896789</v>
      </c>
    </row>
    <row r="47" spans="8:110" x14ac:dyDescent="0.25">
      <c r="H47" s="9"/>
      <c r="I47" s="1" t="s">
        <v>9</v>
      </c>
      <c r="J47" s="1" t="s">
        <v>10</v>
      </c>
      <c r="K47" s="1" t="s">
        <v>11</v>
      </c>
      <c r="L47" s="1" t="s">
        <v>12</v>
      </c>
      <c r="O47" s="9"/>
      <c r="P47" s="1" t="s">
        <v>9</v>
      </c>
      <c r="Q47" s="1" t="s">
        <v>10</v>
      </c>
      <c r="R47" s="1" t="s">
        <v>11</v>
      </c>
      <c r="S47" s="1" t="s">
        <v>12</v>
      </c>
      <c r="V47" s="9"/>
      <c r="W47" s="1" t="s">
        <v>9</v>
      </c>
      <c r="X47" s="1" t="s">
        <v>10</v>
      </c>
      <c r="Y47" s="1" t="s">
        <v>11</v>
      </c>
      <c r="Z47" s="1" t="s">
        <v>12</v>
      </c>
      <c r="AC47" s="9"/>
      <c r="AD47" s="1" t="s">
        <v>9</v>
      </c>
      <c r="AE47" s="1" t="s">
        <v>10</v>
      </c>
      <c r="AF47" s="1" t="s">
        <v>11</v>
      </c>
      <c r="AG47" s="1" t="s">
        <v>12</v>
      </c>
      <c r="AJ47" s="9"/>
      <c r="AK47" s="1" t="s">
        <v>9</v>
      </c>
      <c r="AL47" s="1" t="s">
        <v>10</v>
      </c>
      <c r="AM47" s="1" t="s">
        <v>11</v>
      </c>
      <c r="AN47" s="1" t="s">
        <v>12</v>
      </c>
      <c r="AQ47" s="9"/>
      <c r="AR47" s="1" t="s">
        <v>9</v>
      </c>
      <c r="AS47" s="1" t="s">
        <v>10</v>
      </c>
      <c r="AT47" s="1" t="s">
        <v>11</v>
      </c>
      <c r="AU47" s="1" t="s">
        <v>12</v>
      </c>
      <c r="AX47" s="9"/>
      <c r="AY47" s="1" t="s">
        <v>9</v>
      </c>
      <c r="AZ47" s="1" t="s">
        <v>10</v>
      </c>
      <c r="BA47" s="1" t="s">
        <v>11</v>
      </c>
      <c r="BB47" s="1" t="s">
        <v>12</v>
      </c>
      <c r="BE47" s="9"/>
      <c r="BF47" s="1" t="s">
        <v>9</v>
      </c>
      <c r="BG47" s="1" t="s">
        <v>10</v>
      </c>
      <c r="BH47" s="1" t="s">
        <v>11</v>
      </c>
      <c r="BI47" s="1" t="s">
        <v>12</v>
      </c>
      <c r="BL47" s="9"/>
      <c r="BM47" s="1" t="s">
        <v>9</v>
      </c>
      <c r="BN47" s="1" t="s">
        <v>10</v>
      </c>
      <c r="BO47" s="1" t="s">
        <v>11</v>
      </c>
      <c r="BP47" s="1" t="s">
        <v>12</v>
      </c>
      <c r="BS47" s="9"/>
      <c r="BT47" s="1" t="s">
        <v>9</v>
      </c>
      <c r="BU47" s="1" t="s">
        <v>10</v>
      </c>
      <c r="BV47" s="1" t="s">
        <v>11</v>
      </c>
      <c r="BW47" s="1" t="s">
        <v>12</v>
      </c>
      <c r="BZ47" s="9"/>
      <c r="CA47" s="1" t="s">
        <v>9</v>
      </c>
      <c r="CB47" s="1" t="s">
        <v>10</v>
      </c>
      <c r="CC47" s="1" t="s">
        <v>11</v>
      </c>
      <c r="CD47" s="1" t="s">
        <v>12</v>
      </c>
      <c r="CG47" s="9"/>
      <c r="CH47" s="1" t="s">
        <v>9</v>
      </c>
      <c r="CI47" s="1" t="s">
        <v>10</v>
      </c>
      <c r="CJ47" s="1" t="s">
        <v>11</v>
      </c>
      <c r="CK47" s="1" t="s">
        <v>12</v>
      </c>
      <c r="CN47" s="9"/>
      <c r="CO47" s="1" t="s">
        <v>9</v>
      </c>
      <c r="CP47" s="1" t="s">
        <v>10</v>
      </c>
      <c r="CQ47" s="1" t="s">
        <v>11</v>
      </c>
      <c r="CR47" s="1" t="s">
        <v>12</v>
      </c>
      <c r="CU47" s="9"/>
      <c r="CV47" s="1" t="s">
        <v>9</v>
      </c>
      <c r="CW47" s="1" t="s">
        <v>10</v>
      </c>
      <c r="CX47" s="1" t="s">
        <v>11</v>
      </c>
      <c r="CY47" s="1" t="s">
        <v>12</v>
      </c>
      <c r="DB47" s="9"/>
      <c r="DC47" s="1" t="s">
        <v>9</v>
      </c>
      <c r="DD47" s="1" t="s">
        <v>10</v>
      </c>
      <c r="DE47" s="1" t="s">
        <v>11</v>
      </c>
      <c r="DF47" s="1" t="s">
        <v>12</v>
      </c>
    </row>
  </sheetData>
  <pageMargins left="0.7" right="0.7" top="0.75" bottom="0.75" header="0.3" footer="0.3"/>
  <pageSetup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Kaixuan</dc:creator>
  <cp:lastModifiedBy>User</cp:lastModifiedBy>
  <dcterms:created xsi:type="dcterms:W3CDTF">2019-05-08T13:07:57Z</dcterms:created>
  <dcterms:modified xsi:type="dcterms:W3CDTF">2020-02-25T02:19:58Z</dcterms:modified>
</cp:coreProperties>
</file>